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nnées" sheetId="1" state="visible" r:id="rId1"/>
    <sheet xmlns:r="http://schemas.openxmlformats.org/officeDocument/2006/relationships" name="Dispatch" sheetId="2" state="visible" r:id="rId2"/>
    <sheet xmlns:r="http://schemas.openxmlformats.org/officeDocument/2006/relationships" name="Bilan" sheetId="3" state="visible" r:id="rId3"/>
    <sheet xmlns:r="http://schemas.openxmlformats.org/officeDocument/2006/relationships" name="Graphiques" sheetId="4" state="visible" r:id="rId4"/>
    <sheet xmlns:r="http://schemas.openxmlformats.org/officeDocument/2006/relationships" name="Argument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2">
    <font>
      <name val="Calibri"/>
      <family val="2"/>
      <color theme="1"/>
      <sz val="11"/>
      <scheme val="minor"/>
    </font>
    <font>
      <name val="Calibri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1" fontId="1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3" fontId="1" fillId="0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horizontal="center" vertical="center" wrapText="1"/>
    </xf>
    <xf numFmtId="165" fontId="1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0"/>
            </a:pPr>
            <a:r>
              <a:rPr sz="1200" b="0"/>
              <a:t>Production par filière et échanges marché (MW)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'Dispatch'!D1</f>
            </strRef>
          </tx>
          <spPr>
            <a:solidFill xmlns:a="http://schemas.openxmlformats.org/drawingml/2006/main">
              <a:srgbClr val="F2B701"/>
            </a:solidFill>
            <a:ln xmlns:a="http://schemas.openxmlformats.org/drawingml/2006/main">
              <a:solidFill>
                <a:srgbClr val="F2B701"/>
              </a:solidFill>
              <a:prstDash val="solid"/>
            </a:ln>
          </spPr>
          <cat>
            <numRef>
              <f>'Dispatch'!$A$2:$A$25</f>
            </numRef>
          </cat>
          <val>
            <numRef>
              <f>'Dispatch'!$D$2:$D$25</f>
            </numRef>
          </val>
        </ser>
        <ser>
          <idx val="1"/>
          <order val="1"/>
          <tx>
            <strRef>
              <f>'Dispatch'!E1</f>
            </strRef>
          </tx>
          <spPr>
            <a:solidFill xmlns:a="http://schemas.openxmlformats.org/drawingml/2006/main">
              <a:srgbClr val="1F77B4"/>
            </a:solidFill>
            <a:ln xmlns:a="http://schemas.openxmlformats.org/drawingml/2006/main">
              <a:solidFill>
                <a:srgbClr val="1F77B4"/>
              </a:solidFill>
              <a:prstDash val="solid"/>
            </a:ln>
          </spPr>
          <cat>
            <numRef>
              <f>'Dispatch'!$A$2:$A$25</f>
            </numRef>
          </cat>
          <val>
            <numRef>
              <f>'Dispatch'!$E$2:$E$25</f>
            </numRef>
          </val>
        </ser>
        <ser>
          <idx val="2"/>
          <order val="2"/>
          <tx>
            <strRef>
              <f>'Dispatch'!G1</f>
            </strRef>
          </tx>
          <spPr>
            <a:solidFill xmlns:a="http://schemas.openxmlformats.org/drawingml/2006/main">
              <a:srgbClr val="FFE34D"/>
            </a:solidFill>
            <a:ln xmlns:a="http://schemas.openxmlformats.org/drawingml/2006/main">
              <a:solidFill>
                <a:srgbClr val="FFE34D"/>
              </a:solidFill>
              <a:prstDash val="solid"/>
            </a:ln>
          </spPr>
          <cat>
            <numRef>
              <f>'Dispatch'!$A$2:$A$25</f>
            </numRef>
          </cat>
          <val>
            <numRef>
              <f>'Dispatch'!$G$2:$G$25</f>
            </numRef>
          </val>
        </ser>
        <ser>
          <idx val="3"/>
          <order val="3"/>
          <tx>
            <strRef>
              <f>'Dispatch'!H1</f>
            </strRef>
          </tx>
          <spPr>
            <a:solidFill xmlns:a="http://schemas.openxmlformats.org/drawingml/2006/main">
              <a:srgbClr val="7CC47F"/>
            </a:solidFill>
            <a:ln xmlns:a="http://schemas.openxmlformats.org/drawingml/2006/main">
              <a:solidFill>
                <a:srgbClr val="7CC47F"/>
              </a:solidFill>
              <a:prstDash val="solid"/>
            </a:ln>
          </spPr>
          <cat>
            <numRef>
              <f>'Dispatch'!$A$2:$A$25</f>
            </numRef>
          </cat>
          <val>
            <numRef>
              <f>'Dispatch'!$H$2:$H$25</f>
            </numRef>
          </val>
        </ser>
        <ser>
          <idx val="4"/>
          <order val="4"/>
          <tx>
            <strRef>
              <f>'Dispatch'!I1</f>
            </strRef>
          </tx>
          <spPr>
            <a:solidFill xmlns:a="http://schemas.openxmlformats.org/drawingml/2006/main">
              <a:srgbClr val="9467BD"/>
            </a:solidFill>
            <a:ln xmlns:a="http://schemas.openxmlformats.org/drawingml/2006/main">
              <a:solidFill>
                <a:srgbClr val="9467BD"/>
              </a:solidFill>
              <a:prstDash val="solid"/>
            </a:ln>
          </spPr>
          <cat>
            <numRef>
              <f>'Dispatch'!$A$2:$A$25</f>
            </numRef>
          </cat>
          <val>
            <numRef>
              <f>'Dispatch'!$I$2:$I$25</f>
            </numRef>
          </val>
        </ser>
        <ser>
          <idx val="5"/>
          <order val="5"/>
          <tx>
            <strRef>
              <f>'Dispatch'!K1</f>
            </strRef>
          </tx>
          <spPr>
            <a:solidFill xmlns:a="http://schemas.openxmlformats.org/drawingml/2006/main">
              <a:srgbClr val="17BECF"/>
            </a:solidFill>
            <a:ln xmlns:a="http://schemas.openxmlformats.org/drawingml/2006/main">
              <a:solidFill>
                <a:srgbClr val="17BECF"/>
              </a:solidFill>
              <a:prstDash val="solid"/>
            </a:ln>
          </spPr>
          <cat>
            <numRef>
              <f>'Dispatch'!$A$2:$A$25</f>
            </numRef>
          </cat>
          <val>
            <numRef>
              <f>'Dispatch'!$K$2:$K$25</f>
            </numRef>
          </val>
        </ser>
        <ser>
          <idx val="6"/>
          <order val="6"/>
          <tx>
            <strRef>
              <f>'Dispatch'!M1</f>
            </strRef>
          </tx>
          <spPr>
            <a:solidFill xmlns:a="http://schemas.openxmlformats.org/drawingml/2006/main">
              <a:srgbClr val="A0A0A0"/>
            </a:solidFill>
            <a:ln xmlns:a="http://schemas.openxmlformats.org/drawingml/2006/main">
              <a:solidFill>
                <a:srgbClr val="A0A0A0"/>
              </a:solidFill>
              <a:prstDash val="solid"/>
            </a:ln>
          </spPr>
          <cat>
            <numRef>
              <f>'Dispatch'!$A$2:$A$25</f>
            </numRef>
          </cat>
          <val>
            <numRef>
              <f>'Dispatch'!$M$2:$M$25</f>
            </numRef>
          </val>
        </ser>
        <gapWidth val="30"/>
        <overlap val="100"/>
        <axId val="10"/>
        <axId val="100"/>
      </barChart>
      <lineChart>
        <grouping val="standard"/>
        <ser>
          <idx val="7"/>
          <order val="7"/>
          <tx>
            <strRef>
              <f>'Dispatch'!B1</f>
            </strRef>
          </tx>
          <spPr>
            <a:ln xmlns:a="http://schemas.openxmlformats.org/drawingml/2006/main" w="28000">
              <a:solidFill>
                <a:srgbClr val="D6272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'Dispatch'!$B$2:$B$25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0"/>
            </a:pPr>
            <a:r>
              <a:rPr sz="1200" b="0"/>
              <a:t>Niveau des stocks (MWh)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'Dispatch'!J1</f>
            </strRef>
          </tx>
          <spPr>
            <a:ln xmlns:a="http://schemas.openxmlformats.org/drawingml/2006/main">
              <a:solidFill>
                <a:srgbClr val="9467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'Dispatch'!$A$2:$A$25</f>
            </numRef>
          </cat>
          <val>
            <numRef>
              <f>'Dispatch'!$J$2:$J$25</f>
            </numRef>
          </val>
          <smooth val="0"/>
        </ser>
        <ser>
          <idx val="1"/>
          <order val="1"/>
          <tx>
            <strRef>
              <f>'Dispatch'!L1</f>
            </strRef>
          </tx>
          <spPr>
            <a:ln xmlns:a="http://schemas.openxmlformats.org/drawingml/2006/main">
              <a:solidFill>
                <a:srgbClr val="17BEC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'Dispatch'!$A$2:$A$25</f>
            </numRef>
          </cat>
          <val>
            <numRef>
              <f>'Dispatch'!$L$2:$L$25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936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23</row>
      <rowOff>0</rowOff>
    </from>
    <ext cx="93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3" customWidth="1" min="3" max="3"/>
    <col width="13" customWidth="1" min="4" max="4"/>
    <col width="16" customWidth="1" min="5" max="5"/>
    <col width="3" customWidth="1" min="6" max="6"/>
    <col width="13" customWidth="1" min="7" max="7"/>
    <col width="14" customWidth="1" min="8" max="8"/>
    <col width="12" customWidth="1" min="9" max="9"/>
    <col width="13" customWidth="1" min="10" max="10"/>
    <col width="13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Demande (MW)</t>
        </is>
      </c>
      <c r="C1" s="1" t="inlineStr">
        <is>
          <t>Solaire (MW)</t>
        </is>
      </c>
      <c r="D1" s="1" t="inlineStr">
        <is>
          <t>Eolien (MW)</t>
        </is>
      </c>
      <c r="E1" s="1" t="inlineStr">
        <is>
          <t>Prix marché (€/MWh)</t>
        </is>
      </c>
      <c r="G1" s="1" t="inlineStr">
        <is>
          <t>Filière</t>
        </is>
      </c>
      <c r="H1" s="1" t="inlineStr">
        <is>
          <t>Coût variable (€/MWh)</t>
        </is>
      </c>
      <c r="I1" s="1" t="inlineStr">
        <is>
          <t>CO2 (kg/MWh)</t>
        </is>
      </c>
      <c r="J1" s="1" t="inlineStr">
        <is>
          <t>Puissance max (MW)</t>
        </is>
      </c>
      <c r="K1" s="1" t="inlineStr">
        <is>
          <t>Stock initial (MWh)</t>
        </is>
      </c>
      <c r="L1" s="1" t="inlineStr">
        <is>
          <t>Capacité (MWh)</t>
        </is>
      </c>
    </row>
    <row r="2">
      <c r="A2" s="2" t="inlineStr">
        <is>
          <t>0h-1h</t>
        </is>
      </c>
      <c r="B2" s="2" t="n">
        <v>800</v>
      </c>
      <c r="C2" s="2" t="n">
        <v>0</v>
      </c>
      <c r="D2" s="2" t="n">
        <v>200</v>
      </c>
      <c r="E2" s="2" t="n">
        <v>45</v>
      </c>
      <c r="G2" s="1" t="inlineStr">
        <is>
          <t>Nucléaire</t>
        </is>
      </c>
      <c r="H2" s="1" t="n">
        <v>7</v>
      </c>
      <c r="I2" s="1" t="n">
        <v>12</v>
      </c>
      <c r="J2" s="1" t="n">
        <v>1000</v>
      </c>
      <c r="K2" s="1" t="inlineStr">
        <is>
          <t>infini</t>
        </is>
      </c>
      <c r="L2" s="1" t="inlineStr">
        <is>
          <t>-</t>
        </is>
      </c>
    </row>
    <row r="3">
      <c r="A3" s="2" t="inlineStr">
        <is>
          <t>1h-2h</t>
        </is>
      </c>
      <c r="B3" s="2" t="n">
        <v>700</v>
      </c>
      <c r="C3" s="2" t="n">
        <v>0</v>
      </c>
      <c r="D3" s="2" t="n">
        <v>100</v>
      </c>
      <c r="E3" s="2" t="n">
        <v>42</v>
      </c>
      <c r="G3" s="1" t="inlineStr">
        <is>
          <t>Hydraulique</t>
        </is>
      </c>
      <c r="H3" s="1" t="n">
        <v>5</v>
      </c>
      <c r="I3" s="1" t="n">
        <v>4</v>
      </c>
      <c r="J3" s="1" t="n">
        <v>300</v>
      </c>
      <c r="K3" s="1" t="n">
        <v>5000</v>
      </c>
      <c r="L3" s="1" t="inlineStr">
        <is>
          <t>-</t>
        </is>
      </c>
    </row>
    <row r="4">
      <c r="A4" s="2" t="inlineStr">
        <is>
          <t>2h-3h</t>
        </is>
      </c>
      <c r="B4" s="2" t="n">
        <v>650</v>
      </c>
      <c r="C4" s="2" t="n">
        <v>0</v>
      </c>
      <c r="D4" s="2" t="n">
        <v>50</v>
      </c>
      <c r="E4" s="2" t="n">
        <v>39</v>
      </c>
      <c r="G4" s="1" t="inlineStr">
        <is>
          <t>Gaz</t>
        </is>
      </c>
      <c r="H4" s="1" t="n">
        <v>200</v>
      </c>
      <c r="I4" s="1" t="n">
        <v>400</v>
      </c>
      <c r="J4" s="1" t="n">
        <v>500</v>
      </c>
      <c r="K4" s="1" t="inlineStr">
        <is>
          <t>infini</t>
        </is>
      </c>
      <c r="L4" s="1" t="inlineStr">
        <is>
          <t>-</t>
        </is>
      </c>
    </row>
    <row r="5">
      <c r="A5" s="2" t="inlineStr">
        <is>
          <t>3h-4h</t>
        </is>
      </c>
      <c r="B5" s="2" t="n">
        <v>600</v>
      </c>
      <c r="C5" s="2" t="n">
        <v>0</v>
      </c>
      <c r="D5" s="2" t="n">
        <v>0</v>
      </c>
      <c r="E5" s="2" t="n">
        <v>34</v>
      </c>
      <c r="G5" s="1" t="inlineStr">
        <is>
          <t>Batteries</t>
        </is>
      </c>
      <c r="H5" s="1" t="n">
        <v>1</v>
      </c>
      <c r="I5" s="1" t="n">
        <v>20</v>
      </c>
      <c r="J5" s="1" t="n">
        <v>200</v>
      </c>
      <c r="K5" s="1" t="n">
        <v>0</v>
      </c>
      <c r="L5" s="1" t="n">
        <v>500</v>
      </c>
    </row>
    <row r="6">
      <c r="A6" s="2" t="inlineStr">
        <is>
          <t>4h-5h</t>
        </is>
      </c>
      <c r="B6" s="2" t="n">
        <v>600</v>
      </c>
      <c r="C6" s="2" t="n">
        <v>0</v>
      </c>
      <c r="D6" s="2" t="n">
        <v>50</v>
      </c>
      <c r="E6" s="2" t="n">
        <v>33</v>
      </c>
      <c r="G6" s="1" t="inlineStr">
        <is>
          <t>STEP</t>
        </is>
      </c>
      <c r="H6" s="1" t="n">
        <v>10</v>
      </c>
      <c r="I6" s="1" t="n">
        <v>10</v>
      </c>
      <c r="J6" s="1" t="n">
        <v>500</v>
      </c>
      <c r="K6" s="1" t="n">
        <v>0</v>
      </c>
      <c r="L6" s="1" t="n">
        <v>3000</v>
      </c>
    </row>
    <row r="7">
      <c r="A7" s="2" t="inlineStr">
        <is>
          <t>5h-6h</t>
        </is>
      </c>
      <c r="B7" s="2" t="n">
        <v>700</v>
      </c>
      <c r="C7" s="2" t="n">
        <v>50</v>
      </c>
      <c r="D7" s="2" t="n">
        <v>100</v>
      </c>
      <c r="E7" s="2" t="n">
        <v>40</v>
      </c>
      <c r="G7" s="1" t="inlineStr">
        <is>
          <t>Solaire</t>
        </is>
      </c>
      <c r="H7" s="1" t="n">
        <v>0</v>
      </c>
      <c r="I7" s="1" t="n">
        <v>30</v>
      </c>
      <c r="J7" s="1" t="inlineStr">
        <is>
          <t>profil</t>
        </is>
      </c>
      <c r="K7" s="1" t="inlineStr">
        <is>
          <t>-</t>
        </is>
      </c>
      <c r="L7" s="1" t="inlineStr">
        <is>
          <t>-</t>
        </is>
      </c>
    </row>
    <row r="8">
      <c r="A8" s="2" t="inlineStr">
        <is>
          <t>6h-7h</t>
        </is>
      </c>
      <c r="B8" s="2" t="n">
        <v>900</v>
      </c>
      <c r="C8" s="2" t="n">
        <v>150</v>
      </c>
      <c r="D8" s="2" t="n">
        <v>200</v>
      </c>
      <c r="E8" s="2" t="n">
        <v>51</v>
      </c>
      <c r="G8" s="1" t="inlineStr">
        <is>
          <t>Eolien</t>
        </is>
      </c>
      <c r="H8" s="1" t="n">
        <v>0</v>
      </c>
      <c r="I8" s="1" t="n">
        <v>12</v>
      </c>
      <c r="J8" s="1" t="inlineStr">
        <is>
          <t>profil</t>
        </is>
      </c>
      <c r="K8" s="1" t="inlineStr">
        <is>
          <t>-</t>
        </is>
      </c>
      <c r="L8" s="1" t="inlineStr">
        <is>
          <t>-</t>
        </is>
      </c>
    </row>
    <row r="9">
      <c r="A9" s="2" t="inlineStr">
        <is>
          <t>7h-8h</t>
        </is>
      </c>
      <c r="B9" s="2" t="n">
        <v>1100</v>
      </c>
      <c r="C9" s="2" t="n">
        <v>200</v>
      </c>
      <c r="D9" s="2" t="n">
        <v>300</v>
      </c>
      <c r="E9" s="2" t="n">
        <v>61</v>
      </c>
    </row>
    <row r="10">
      <c r="A10" s="2" t="inlineStr">
        <is>
          <t>8h-9h</t>
        </is>
      </c>
      <c r="B10" s="2" t="n">
        <v>1200</v>
      </c>
      <c r="C10" s="2" t="n">
        <v>200</v>
      </c>
      <c r="D10" s="2" t="n">
        <v>500</v>
      </c>
      <c r="E10" s="2" t="n">
        <v>68</v>
      </c>
      <c r="G10" s="3" t="inlineStr">
        <is>
          <t>Solaire et éolien : coût variable nul, CO2 sur cycle de vie repris du tableau du TD1 (hypothèse).</t>
        </is>
      </c>
    </row>
    <row r="11">
      <c r="A11" s="2" t="inlineStr">
        <is>
          <t>9h-10h</t>
        </is>
      </c>
      <c r="B11" s="2" t="n">
        <v>1250</v>
      </c>
      <c r="C11" s="2" t="n">
        <v>250</v>
      </c>
      <c r="D11" s="2" t="n">
        <v>500</v>
      </c>
      <c r="E11" s="2" t="n">
        <v>74</v>
      </c>
      <c r="G11" s="3" t="inlineStr">
        <is>
          <t>Nucléaire : maintien de puissance de 3 h minimum.</t>
        </is>
      </c>
    </row>
    <row r="12">
      <c r="A12" s="2" t="inlineStr">
        <is>
          <t>10h-11h</t>
        </is>
      </c>
      <c r="B12" s="2" t="n">
        <v>1300</v>
      </c>
      <c r="C12" s="2" t="n">
        <v>300</v>
      </c>
      <c r="D12" s="2" t="n">
        <v>450</v>
      </c>
      <c r="E12" s="2" t="n">
        <v>78</v>
      </c>
    </row>
    <row r="13">
      <c r="A13" s="2" t="inlineStr">
        <is>
          <t>11h-12h</t>
        </is>
      </c>
      <c r="B13" s="2" t="n">
        <v>1350</v>
      </c>
      <c r="C13" s="2" t="n">
        <v>350</v>
      </c>
      <c r="D13" s="2" t="n">
        <v>300</v>
      </c>
      <c r="E13" s="2" t="n">
        <v>81</v>
      </c>
    </row>
    <row r="14">
      <c r="A14" s="2" t="inlineStr">
        <is>
          <t>12h-13h</t>
        </is>
      </c>
      <c r="B14" s="2" t="n">
        <v>1300</v>
      </c>
      <c r="C14" s="2" t="n">
        <v>400</v>
      </c>
      <c r="D14" s="2" t="n">
        <v>300</v>
      </c>
      <c r="E14" s="2" t="n">
        <v>80</v>
      </c>
    </row>
    <row r="15">
      <c r="A15" s="2" t="inlineStr">
        <is>
          <t>13h-14h</t>
        </is>
      </c>
      <c r="B15" s="2" t="n">
        <v>1250</v>
      </c>
      <c r="C15" s="2" t="n">
        <v>500</v>
      </c>
      <c r="D15" s="2" t="n">
        <v>300</v>
      </c>
      <c r="E15" s="2" t="n">
        <v>70</v>
      </c>
    </row>
    <row r="16">
      <c r="A16" s="2" t="inlineStr">
        <is>
          <t>14h-15h</t>
        </is>
      </c>
      <c r="B16" s="2" t="n">
        <v>1200</v>
      </c>
      <c r="C16" s="2" t="n">
        <v>400</v>
      </c>
      <c r="D16" s="2" t="n">
        <v>200</v>
      </c>
      <c r="E16" s="2" t="n">
        <v>68</v>
      </c>
    </row>
    <row r="17">
      <c r="A17" s="2" t="inlineStr">
        <is>
          <t>15h-16h</t>
        </is>
      </c>
      <c r="B17" s="2" t="n">
        <v>1150</v>
      </c>
      <c r="C17" s="2" t="n">
        <v>350</v>
      </c>
      <c r="D17" s="2" t="n">
        <v>100</v>
      </c>
      <c r="E17" s="2" t="n">
        <v>65</v>
      </c>
    </row>
    <row r="18">
      <c r="A18" s="2" t="inlineStr">
        <is>
          <t>16h-17h</t>
        </is>
      </c>
      <c r="B18" s="2" t="n">
        <v>1300</v>
      </c>
      <c r="C18" s="2" t="n">
        <v>350</v>
      </c>
      <c r="D18" s="2" t="n">
        <v>200</v>
      </c>
      <c r="E18" s="2" t="n">
        <v>78</v>
      </c>
    </row>
    <row r="19">
      <c r="A19" s="2" t="inlineStr">
        <is>
          <t>17h-18h</t>
        </is>
      </c>
      <c r="B19" s="2" t="n">
        <v>1500</v>
      </c>
      <c r="C19" s="2" t="n">
        <v>300</v>
      </c>
      <c r="D19" s="2" t="n">
        <v>200</v>
      </c>
      <c r="E19" s="2" t="n">
        <v>95</v>
      </c>
    </row>
    <row r="20">
      <c r="A20" s="2" t="inlineStr">
        <is>
          <t>18h-19h</t>
        </is>
      </c>
      <c r="B20" s="2" t="n">
        <v>1600</v>
      </c>
      <c r="C20" s="2" t="n">
        <v>300</v>
      </c>
      <c r="D20" s="2" t="n">
        <v>100</v>
      </c>
      <c r="E20" s="2" t="n">
        <v>96</v>
      </c>
    </row>
    <row r="21">
      <c r="A21" s="2" t="inlineStr">
        <is>
          <t>19h-20h</t>
        </is>
      </c>
      <c r="B21" s="2" t="n">
        <v>1500</v>
      </c>
      <c r="C21" s="2" t="n">
        <v>250</v>
      </c>
      <c r="D21" s="2" t="n">
        <v>50</v>
      </c>
      <c r="E21" s="2" t="n">
        <v>85</v>
      </c>
    </row>
    <row r="22">
      <c r="A22" s="2" t="inlineStr">
        <is>
          <t>20h-21h</t>
        </is>
      </c>
      <c r="B22" s="2" t="n">
        <v>1400</v>
      </c>
      <c r="C22" s="2" t="n">
        <v>100</v>
      </c>
      <c r="D22" s="2" t="n">
        <v>0</v>
      </c>
      <c r="E22" s="2" t="n">
        <v>79</v>
      </c>
    </row>
    <row r="23">
      <c r="A23" s="2" t="inlineStr">
        <is>
          <t>21h-22h</t>
        </is>
      </c>
      <c r="B23" s="2" t="n">
        <v>1200</v>
      </c>
      <c r="C23" s="2" t="n">
        <v>50</v>
      </c>
      <c r="D23" s="2" t="n">
        <v>0</v>
      </c>
      <c r="E23" s="2" t="n">
        <v>68</v>
      </c>
    </row>
    <row r="24">
      <c r="A24" s="2" t="inlineStr">
        <is>
          <t>22h-23h</t>
        </is>
      </c>
      <c r="B24" s="2" t="n">
        <v>1000</v>
      </c>
      <c r="C24" s="2" t="n">
        <v>0</v>
      </c>
      <c r="D24" s="2" t="n">
        <v>0</v>
      </c>
      <c r="E24" s="2" t="n">
        <v>55</v>
      </c>
    </row>
    <row r="25">
      <c r="A25" s="2" t="inlineStr">
        <is>
          <t>23h-24h</t>
        </is>
      </c>
      <c r="B25" s="2" t="n">
        <v>900</v>
      </c>
      <c r="C25" s="2" t="n">
        <v>0</v>
      </c>
      <c r="D25" s="2" t="n">
        <v>100</v>
      </c>
      <c r="E25" s="2" t="n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5" customWidth="1" min="9" max="9"/>
    <col width="12" customWidth="1" min="10" max="10"/>
    <col width="15" customWidth="1" min="11" max="11"/>
    <col width="12" customWidth="1" min="12" max="12"/>
    <col width="15" customWidth="1" min="13" max="13"/>
    <col width="12" customWidth="1" min="14" max="14"/>
    <col width="12" customWidth="1" min="15" max="15"/>
  </cols>
  <sheetData>
    <row r="1" ht="48" customHeight="1">
      <c r="A1" s="1" t="inlineStr">
        <is>
          <t>Heure</t>
        </is>
      </c>
      <c r="B1" s="1" t="inlineStr">
        <is>
          <t>Demande (MW)</t>
        </is>
      </c>
      <c r="C1" s="1" t="inlineStr">
        <is>
          <t>Prix (€/MWh)</t>
        </is>
      </c>
      <c r="D1" s="1" t="inlineStr">
        <is>
          <t>Nucléaire (MW)</t>
        </is>
      </c>
      <c r="E1" s="1" t="inlineStr">
        <is>
          <t>Hydraulique (MW)</t>
        </is>
      </c>
      <c r="F1" s="1" t="inlineStr">
        <is>
          <t>Gaz (MW)</t>
        </is>
      </c>
      <c r="G1" s="1" t="inlineStr">
        <is>
          <t>Solaire (MW)</t>
        </is>
      </c>
      <c r="H1" s="1" t="inlineStr">
        <is>
          <t>Eolien (MW)</t>
        </is>
      </c>
      <c r="I1" s="1" t="inlineStr">
        <is>
          <t>Batterie (MW) + décharge / - charge</t>
        </is>
      </c>
      <c r="J1" s="1" t="inlineStr">
        <is>
          <t>Stock batterie (MWh)</t>
        </is>
      </c>
      <c r="K1" s="1" t="inlineStr">
        <is>
          <t>STEP (MW) + turbine / - pompe</t>
        </is>
      </c>
      <c r="L1" s="1" t="inlineStr">
        <is>
          <t>Stock STEP (MWh)</t>
        </is>
      </c>
      <c r="M1" s="1" t="inlineStr">
        <is>
          <t>Marché (MW) + achat / - vente</t>
        </is>
      </c>
      <c r="N1" s="1" t="inlineStr">
        <is>
          <t>Achat (MW)</t>
        </is>
      </c>
      <c r="O1" s="1" t="inlineStr">
        <is>
          <t>Vente (MW)</t>
        </is>
      </c>
    </row>
    <row r="2">
      <c r="A2" s="2">
        <f>Données!A2</f>
        <v/>
      </c>
      <c r="B2" s="2">
        <f>Données!B2</f>
        <v/>
      </c>
      <c r="C2" s="2">
        <f>Données!E2</f>
        <v/>
      </c>
      <c r="D2" s="2" t="n">
        <v>1000</v>
      </c>
      <c r="E2" s="2" t="n">
        <v>0</v>
      </c>
      <c r="F2" s="2" t="n">
        <v>0</v>
      </c>
      <c r="G2" s="2">
        <f>Données!C2</f>
        <v/>
      </c>
      <c r="H2" s="2">
        <f>Données!D2</f>
        <v/>
      </c>
      <c r="I2" s="2" t="n">
        <v>0</v>
      </c>
      <c r="J2" s="2">
        <f>Données!$K$5-I2</f>
        <v/>
      </c>
      <c r="K2" s="2" t="n">
        <v>-500</v>
      </c>
      <c r="L2" s="2">
        <f>Données!$K$6-K2</f>
        <v/>
      </c>
      <c r="M2" s="2">
        <f>B2-(D2+E2+F2+G2+H2+I2+K2)</f>
        <v/>
      </c>
      <c r="N2" s="2">
        <f>MAX(M2,0)</f>
        <v/>
      </c>
      <c r="O2" s="2">
        <f>MAX(-M2,0)</f>
        <v/>
      </c>
    </row>
    <row r="3">
      <c r="A3" s="2">
        <f>Données!A3</f>
        <v/>
      </c>
      <c r="B3" s="2">
        <f>Données!B3</f>
        <v/>
      </c>
      <c r="C3" s="2">
        <f>Données!E3</f>
        <v/>
      </c>
      <c r="D3" s="2" t="n">
        <v>1000</v>
      </c>
      <c r="E3" s="2" t="n">
        <v>0</v>
      </c>
      <c r="F3" s="2" t="n">
        <v>0</v>
      </c>
      <c r="G3" s="2">
        <f>Données!C3</f>
        <v/>
      </c>
      <c r="H3" s="2">
        <f>Données!D3</f>
        <v/>
      </c>
      <c r="I3" s="2" t="n">
        <v>0</v>
      </c>
      <c r="J3" s="2">
        <f>J2-I3</f>
        <v/>
      </c>
      <c r="K3" s="2" t="n">
        <v>-500</v>
      </c>
      <c r="L3" s="2">
        <f>L2-K3</f>
        <v/>
      </c>
      <c r="M3" s="2">
        <f>B3-(D3+E3+F3+G3+H3+I3+K3)</f>
        <v/>
      </c>
      <c r="N3" s="2">
        <f>MAX(M3,0)</f>
        <v/>
      </c>
      <c r="O3" s="2">
        <f>MAX(-M3,0)</f>
        <v/>
      </c>
    </row>
    <row r="4">
      <c r="A4" s="2">
        <f>Données!A4</f>
        <v/>
      </c>
      <c r="B4" s="2">
        <f>Données!B4</f>
        <v/>
      </c>
      <c r="C4" s="2">
        <f>Données!E4</f>
        <v/>
      </c>
      <c r="D4" s="2" t="n">
        <v>1000</v>
      </c>
      <c r="E4" s="2" t="n">
        <v>0</v>
      </c>
      <c r="F4" s="2" t="n">
        <v>0</v>
      </c>
      <c r="G4" s="2">
        <f>Données!C4</f>
        <v/>
      </c>
      <c r="H4" s="2">
        <f>Données!D4</f>
        <v/>
      </c>
      <c r="I4" s="2" t="n">
        <v>-100</v>
      </c>
      <c r="J4" s="2">
        <f>J3-I4</f>
        <v/>
      </c>
      <c r="K4" s="2" t="n">
        <v>-500</v>
      </c>
      <c r="L4" s="2">
        <f>L3-K4</f>
        <v/>
      </c>
      <c r="M4" s="2">
        <f>B4-(D4+E4+F4+G4+H4+I4+K4)</f>
        <v/>
      </c>
      <c r="N4" s="2">
        <f>MAX(M4,0)</f>
        <v/>
      </c>
      <c r="O4" s="2">
        <f>MAX(-M4,0)</f>
        <v/>
      </c>
    </row>
    <row r="5">
      <c r="A5" s="2">
        <f>Données!A5</f>
        <v/>
      </c>
      <c r="B5" s="2">
        <f>Données!B5</f>
        <v/>
      </c>
      <c r="C5" s="2">
        <f>Données!E5</f>
        <v/>
      </c>
      <c r="D5" s="2" t="n">
        <v>1000</v>
      </c>
      <c r="E5" s="2" t="n">
        <v>0</v>
      </c>
      <c r="F5" s="2" t="n">
        <v>0</v>
      </c>
      <c r="G5" s="2">
        <f>Données!C5</f>
        <v/>
      </c>
      <c r="H5" s="2">
        <f>Données!D5</f>
        <v/>
      </c>
      <c r="I5" s="2" t="n">
        <v>-200</v>
      </c>
      <c r="J5" s="2">
        <f>J4-I5</f>
        <v/>
      </c>
      <c r="K5" s="2" t="n">
        <v>-500</v>
      </c>
      <c r="L5" s="2">
        <f>L4-K5</f>
        <v/>
      </c>
      <c r="M5" s="2">
        <f>B5-(D5+E5+F5+G5+H5+I5+K5)</f>
        <v/>
      </c>
      <c r="N5" s="2">
        <f>MAX(M5,0)</f>
        <v/>
      </c>
      <c r="O5" s="2">
        <f>MAX(-M5,0)</f>
        <v/>
      </c>
    </row>
    <row r="6">
      <c r="A6" s="2">
        <f>Données!A6</f>
        <v/>
      </c>
      <c r="B6" s="2">
        <f>Données!B6</f>
        <v/>
      </c>
      <c r="C6" s="2">
        <f>Données!E6</f>
        <v/>
      </c>
      <c r="D6" s="2" t="n">
        <v>1000</v>
      </c>
      <c r="E6" s="2" t="n">
        <v>0</v>
      </c>
      <c r="F6" s="2" t="n">
        <v>0</v>
      </c>
      <c r="G6" s="2">
        <f>Données!C6</f>
        <v/>
      </c>
      <c r="H6" s="2">
        <f>Données!D6</f>
        <v/>
      </c>
      <c r="I6" s="2" t="n">
        <v>-200</v>
      </c>
      <c r="J6" s="2">
        <f>J5-I6</f>
        <v/>
      </c>
      <c r="K6" s="2" t="n">
        <v>-500</v>
      </c>
      <c r="L6" s="2">
        <f>L5-K6</f>
        <v/>
      </c>
      <c r="M6" s="2">
        <f>B6-(D6+E6+F6+G6+H6+I6+K6)</f>
        <v/>
      </c>
      <c r="N6" s="2">
        <f>MAX(M6,0)</f>
        <v/>
      </c>
      <c r="O6" s="2">
        <f>MAX(-M6,0)</f>
        <v/>
      </c>
    </row>
    <row r="7">
      <c r="A7" s="2">
        <f>Données!A7</f>
        <v/>
      </c>
      <c r="B7" s="2">
        <f>Données!B7</f>
        <v/>
      </c>
      <c r="C7" s="2">
        <f>Données!E7</f>
        <v/>
      </c>
      <c r="D7" s="2" t="n">
        <v>1000</v>
      </c>
      <c r="E7" s="2" t="n">
        <v>0</v>
      </c>
      <c r="F7" s="2" t="n">
        <v>0</v>
      </c>
      <c r="G7" s="2">
        <f>Données!C7</f>
        <v/>
      </c>
      <c r="H7" s="2">
        <f>Données!D7</f>
        <v/>
      </c>
      <c r="I7" s="2" t="n">
        <v>0</v>
      </c>
      <c r="J7" s="2">
        <f>J6-I7</f>
        <v/>
      </c>
      <c r="K7" s="2" t="n">
        <v>-500</v>
      </c>
      <c r="L7" s="2">
        <f>L6-K7</f>
        <v/>
      </c>
      <c r="M7" s="2">
        <f>B7-(D7+E7+F7+G7+H7+I7+K7)</f>
        <v/>
      </c>
      <c r="N7" s="2">
        <f>MAX(M7,0)</f>
        <v/>
      </c>
      <c r="O7" s="2">
        <f>MAX(-M7,0)</f>
        <v/>
      </c>
    </row>
    <row r="8">
      <c r="A8" s="2">
        <f>Données!A8</f>
        <v/>
      </c>
      <c r="B8" s="2">
        <f>Données!B8</f>
        <v/>
      </c>
      <c r="C8" s="2">
        <f>Données!E8</f>
        <v/>
      </c>
      <c r="D8" s="2" t="n">
        <v>1000</v>
      </c>
      <c r="E8" s="2" t="n">
        <v>200</v>
      </c>
      <c r="F8" s="2" t="n">
        <v>0</v>
      </c>
      <c r="G8" s="2">
        <f>Données!C8</f>
        <v/>
      </c>
      <c r="H8" s="2">
        <f>Données!D8</f>
        <v/>
      </c>
      <c r="I8" s="2" t="n">
        <v>0</v>
      </c>
      <c r="J8" s="2">
        <f>J7-I8</f>
        <v/>
      </c>
      <c r="K8" s="2" t="n">
        <v>0</v>
      </c>
      <c r="L8" s="2">
        <f>L7-K8</f>
        <v/>
      </c>
      <c r="M8" s="2">
        <f>B8-(D8+E8+F8+G8+H8+I8+K8)</f>
        <v/>
      </c>
      <c r="N8" s="2">
        <f>MAX(M8,0)</f>
        <v/>
      </c>
      <c r="O8" s="2">
        <f>MAX(-M8,0)</f>
        <v/>
      </c>
    </row>
    <row r="9">
      <c r="A9" s="2">
        <f>Données!A9</f>
        <v/>
      </c>
      <c r="B9" s="2">
        <f>Données!B9</f>
        <v/>
      </c>
      <c r="C9" s="2">
        <f>Données!E9</f>
        <v/>
      </c>
      <c r="D9" s="2" t="n">
        <v>1000</v>
      </c>
      <c r="E9" s="2" t="n">
        <v>300</v>
      </c>
      <c r="F9" s="2" t="n">
        <v>0</v>
      </c>
      <c r="G9" s="2">
        <f>Données!C9</f>
        <v/>
      </c>
      <c r="H9" s="2">
        <f>Données!D9</f>
        <v/>
      </c>
      <c r="I9" s="2" t="n">
        <v>0</v>
      </c>
      <c r="J9" s="2">
        <f>J8-I9</f>
        <v/>
      </c>
      <c r="K9" s="2" t="n">
        <v>0</v>
      </c>
      <c r="L9" s="2">
        <f>L8-K9</f>
        <v/>
      </c>
      <c r="M9" s="2">
        <f>B9-(D9+E9+F9+G9+H9+I9+K9)</f>
        <v/>
      </c>
      <c r="N9" s="2">
        <f>MAX(M9,0)</f>
        <v/>
      </c>
      <c r="O9" s="2">
        <f>MAX(-M9,0)</f>
        <v/>
      </c>
    </row>
    <row r="10">
      <c r="A10" s="2">
        <f>Données!A10</f>
        <v/>
      </c>
      <c r="B10" s="2">
        <f>Données!B10</f>
        <v/>
      </c>
      <c r="C10" s="2">
        <f>Données!E10</f>
        <v/>
      </c>
      <c r="D10" s="2" t="n">
        <v>1000</v>
      </c>
      <c r="E10" s="2" t="n">
        <v>300</v>
      </c>
      <c r="F10" s="2" t="n">
        <v>0</v>
      </c>
      <c r="G10" s="2">
        <f>Données!C10</f>
        <v/>
      </c>
      <c r="H10" s="2">
        <f>Données!D10</f>
        <v/>
      </c>
      <c r="I10" s="2" t="n">
        <v>0</v>
      </c>
      <c r="J10" s="2">
        <f>J9-I10</f>
        <v/>
      </c>
      <c r="K10" s="2" t="n">
        <v>0</v>
      </c>
      <c r="L10" s="2">
        <f>L9-K10</f>
        <v/>
      </c>
      <c r="M10" s="2">
        <f>B10-(D10+E10+F10+G10+H10+I10+K10)</f>
        <v/>
      </c>
      <c r="N10" s="2">
        <f>MAX(M10,0)</f>
        <v/>
      </c>
      <c r="O10" s="2">
        <f>MAX(-M10,0)</f>
        <v/>
      </c>
    </row>
    <row r="11">
      <c r="A11" s="2">
        <f>Données!A11</f>
        <v/>
      </c>
      <c r="B11" s="2">
        <f>Données!B11</f>
        <v/>
      </c>
      <c r="C11" s="2">
        <f>Données!E11</f>
        <v/>
      </c>
      <c r="D11" s="2" t="n">
        <v>1000</v>
      </c>
      <c r="E11" s="2" t="n">
        <v>300</v>
      </c>
      <c r="F11" s="2" t="n">
        <v>0</v>
      </c>
      <c r="G11" s="2">
        <f>Données!C11</f>
        <v/>
      </c>
      <c r="H11" s="2">
        <f>Données!D11</f>
        <v/>
      </c>
      <c r="I11" s="2" t="n">
        <v>0</v>
      </c>
      <c r="J11" s="2">
        <f>J10-I11</f>
        <v/>
      </c>
      <c r="K11" s="2" t="n">
        <v>0</v>
      </c>
      <c r="L11" s="2">
        <f>L10-K11</f>
        <v/>
      </c>
      <c r="M11" s="2">
        <f>B11-(D11+E11+F11+G11+H11+I11+K11)</f>
        <v/>
      </c>
      <c r="N11" s="2">
        <f>MAX(M11,0)</f>
        <v/>
      </c>
      <c r="O11" s="2">
        <f>MAX(-M11,0)</f>
        <v/>
      </c>
    </row>
    <row r="12">
      <c r="A12" s="2">
        <f>Données!A12</f>
        <v/>
      </c>
      <c r="B12" s="2">
        <f>Données!B12</f>
        <v/>
      </c>
      <c r="C12" s="2">
        <f>Données!E12</f>
        <v/>
      </c>
      <c r="D12" s="2" t="n">
        <v>1000</v>
      </c>
      <c r="E12" s="2" t="n">
        <v>300</v>
      </c>
      <c r="F12" s="2" t="n">
        <v>0</v>
      </c>
      <c r="G12" s="2">
        <f>Données!C12</f>
        <v/>
      </c>
      <c r="H12" s="2">
        <f>Données!D12</f>
        <v/>
      </c>
      <c r="I12" s="2" t="n">
        <v>100</v>
      </c>
      <c r="J12" s="2">
        <f>J11-I12</f>
        <v/>
      </c>
      <c r="K12" s="2" t="n">
        <v>0</v>
      </c>
      <c r="L12" s="2">
        <f>L11-K12</f>
        <v/>
      </c>
      <c r="M12" s="2">
        <f>B12-(D12+E12+F12+G12+H12+I12+K12)</f>
        <v/>
      </c>
      <c r="N12" s="2">
        <f>MAX(M12,0)</f>
        <v/>
      </c>
      <c r="O12" s="2">
        <f>MAX(-M12,0)</f>
        <v/>
      </c>
    </row>
    <row r="13">
      <c r="A13" s="2">
        <f>Données!A13</f>
        <v/>
      </c>
      <c r="B13" s="2">
        <f>Données!B13</f>
        <v/>
      </c>
      <c r="C13" s="2">
        <f>Données!E13</f>
        <v/>
      </c>
      <c r="D13" s="2" t="n">
        <v>1000</v>
      </c>
      <c r="E13" s="2" t="n">
        <v>300</v>
      </c>
      <c r="F13" s="2" t="n">
        <v>0</v>
      </c>
      <c r="G13" s="2">
        <f>Données!C13</f>
        <v/>
      </c>
      <c r="H13" s="2">
        <f>Données!D13</f>
        <v/>
      </c>
      <c r="I13" s="2" t="n">
        <v>200</v>
      </c>
      <c r="J13" s="2">
        <f>J12-I13</f>
        <v/>
      </c>
      <c r="K13" s="2" t="n">
        <v>500</v>
      </c>
      <c r="L13" s="2">
        <f>L12-K13</f>
        <v/>
      </c>
      <c r="M13" s="2">
        <f>B13-(D13+E13+F13+G13+H13+I13+K13)</f>
        <v/>
      </c>
      <c r="N13" s="2">
        <f>MAX(M13,0)</f>
        <v/>
      </c>
      <c r="O13" s="2">
        <f>MAX(-M13,0)</f>
        <v/>
      </c>
    </row>
    <row r="14">
      <c r="A14" s="2">
        <f>Données!A14</f>
        <v/>
      </c>
      <c r="B14" s="2">
        <f>Données!B14</f>
        <v/>
      </c>
      <c r="C14" s="2">
        <f>Données!E14</f>
        <v/>
      </c>
      <c r="D14" s="2" t="n">
        <v>1000</v>
      </c>
      <c r="E14" s="2" t="n">
        <v>300</v>
      </c>
      <c r="F14" s="2" t="n">
        <v>0</v>
      </c>
      <c r="G14" s="2">
        <f>Données!C14</f>
        <v/>
      </c>
      <c r="H14" s="2">
        <f>Données!D14</f>
        <v/>
      </c>
      <c r="I14" s="2" t="n">
        <v>200</v>
      </c>
      <c r="J14" s="2">
        <f>J13-I14</f>
        <v/>
      </c>
      <c r="K14" s="2" t="n">
        <v>500</v>
      </c>
      <c r="L14" s="2">
        <f>L13-K14</f>
        <v/>
      </c>
      <c r="M14" s="2">
        <f>B14-(D14+E14+F14+G14+H14+I14+K14)</f>
        <v/>
      </c>
      <c r="N14" s="2">
        <f>MAX(M14,0)</f>
        <v/>
      </c>
      <c r="O14" s="2">
        <f>MAX(-M14,0)</f>
        <v/>
      </c>
    </row>
    <row r="15">
      <c r="A15" s="2">
        <f>Données!A15</f>
        <v/>
      </c>
      <c r="B15" s="2">
        <f>Données!B15</f>
        <v/>
      </c>
      <c r="C15" s="2">
        <f>Données!E15</f>
        <v/>
      </c>
      <c r="D15" s="2" t="n">
        <v>1000</v>
      </c>
      <c r="E15" s="2" t="n">
        <v>300</v>
      </c>
      <c r="F15" s="2" t="n">
        <v>0</v>
      </c>
      <c r="G15" s="2">
        <f>Données!C15</f>
        <v/>
      </c>
      <c r="H15" s="2">
        <f>Données!D15</f>
        <v/>
      </c>
      <c r="I15" s="2" t="n">
        <v>-100</v>
      </c>
      <c r="J15" s="2">
        <f>J14-I15</f>
        <v/>
      </c>
      <c r="K15" s="2" t="n">
        <v>0</v>
      </c>
      <c r="L15" s="2">
        <f>L14-K15</f>
        <v/>
      </c>
      <c r="M15" s="2">
        <f>B15-(D15+E15+F15+G15+H15+I15+K15)</f>
        <v/>
      </c>
      <c r="N15" s="2">
        <f>MAX(M15,0)</f>
        <v/>
      </c>
      <c r="O15" s="2">
        <f>MAX(-M15,0)</f>
        <v/>
      </c>
    </row>
    <row r="16">
      <c r="A16" s="2">
        <f>Données!A16</f>
        <v/>
      </c>
      <c r="B16" s="2">
        <f>Données!B16</f>
        <v/>
      </c>
      <c r="C16" s="2">
        <f>Données!E16</f>
        <v/>
      </c>
      <c r="D16" s="2" t="n">
        <v>1000</v>
      </c>
      <c r="E16" s="2" t="n">
        <v>300</v>
      </c>
      <c r="F16" s="2" t="n">
        <v>0</v>
      </c>
      <c r="G16" s="2">
        <f>Données!C16</f>
        <v/>
      </c>
      <c r="H16" s="2">
        <f>Données!D16</f>
        <v/>
      </c>
      <c r="I16" s="2" t="n">
        <v>-200</v>
      </c>
      <c r="J16" s="2">
        <f>J15-I16</f>
        <v/>
      </c>
      <c r="K16" s="2" t="n">
        <v>0</v>
      </c>
      <c r="L16" s="2">
        <f>L15-K16</f>
        <v/>
      </c>
      <c r="M16" s="2">
        <f>B16-(D16+E16+F16+G16+H16+I16+K16)</f>
        <v/>
      </c>
      <c r="N16" s="2">
        <f>MAX(M16,0)</f>
        <v/>
      </c>
      <c r="O16" s="2">
        <f>MAX(-M16,0)</f>
        <v/>
      </c>
    </row>
    <row r="17">
      <c r="A17" s="2">
        <f>Données!A17</f>
        <v/>
      </c>
      <c r="B17" s="2">
        <f>Données!B17</f>
        <v/>
      </c>
      <c r="C17" s="2">
        <f>Données!E17</f>
        <v/>
      </c>
      <c r="D17" s="2" t="n">
        <v>1000</v>
      </c>
      <c r="E17" s="2" t="n">
        <v>300</v>
      </c>
      <c r="F17" s="2" t="n">
        <v>0</v>
      </c>
      <c r="G17" s="2">
        <f>Données!C17</f>
        <v/>
      </c>
      <c r="H17" s="2">
        <f>Données!D17</f>
        <v/>
      </c>
      <c r="I17" s="2" t="n">
        <v>-200</v>
      </c>
      <c r="J17" s="2">
        <f>J16-I17</f>
        <v/>
      </c>
      <c r="K17" s="2" t="n">
        <v>0</v>
      </c>
      <c r="L17" s="2">
        <f>L16-K17</f>
        <v/>
      </c>
      <c r="M17" s="2">
        <f>B17-(D17+E17+F17+G17+H17+I17+K17)</f>
        <v/>
      </c>
      <c r="N17" s="2">
        <f>MAX(M17,0)</f>
        <v/>
      </c>
      <c r="O17" s="2">
        <f>MAX(-M17,0)</f>
        <v/>
      </c>
    </row>
    <row r="18">
      <c r="A18" s="2">
        <f>Données!A18</f>
        <v/>
      </c>
      <c r="B18" s="2">
        <f>Données!B18</f>
        <v/>
      </c>
      <c r="C18" s="2">
        <f>Données!E18</f>
        <v/>
      </c>
      <c r="D18" s="2" t="n">
        <v>1000</v>
      </c>
      <c r="E18" s="2" t="n">
        <v>300</v>
      </c>
      <c r="F18" s="2" t="n">
        <v>0</v>
      </c>
      <c r="G18" s="2">
        <f>Données!C18</f>
        <v/>
      </c>
      <c r="H18" s="2">
        <f>Données!D18</f>
        <v/>
      </c>
      <c r="I18" s="2" t="n">
        <v>0</v>
      </c>
      <c r="J18" s="2">
        <f>J17-I18</f>
        <v/>
      </c>
      <c r="K18" s="2" t="n">
        <v>0</v>
      </c>
      <c r="L18" s="2">
        <f>L17-K18</f>
        <v/>
      </c>
      <c r="M18" s="2">
        <f>B18-(D18+E18+F18+G18+H18+I18+K18)</f>
        <v/>
      </c>
      <c r="N18" s="2">
        <f>MAX(M18,0)</f>
        <v/>
      </c>
      <c r="O18" s="2">
        <f>MAX(-M18,0)</f>
        <v/>
      </c>
    </row>
    <row r="19">
      <c r="A19" s="2">
        <f>Données!A19</f>
        <v/>
      </c>
      <c r="B19" s="2">
        <f>Données!B19</f>
        <v/>
      </c>
      <c r="C19" s="2">
        <f>Données!E19</f>
        <v/>
      </c>
      <c r="D19" s="2" t="n">
        <v>1000</v>
      </c>
      <c r="E19" s="2" t="n">
        <v>300</v>
      </c>
      <c r="F19" s="2" t="n">
        <v>0</v>
      </c>
      <c r="G19" s="2">
        <f>Données!C19</f>
        <v/>
      </c>
      <c r="H19" s="2">
        <f>Données!D19</f>
        <v/>
      </c>
      <c r="I19" s="2" t="n">
        <v>200</v>
      </c>
      <c r="J19" s="2">
        <f>J18-I19</f>
        <v/>
      </c>
      <c r="K19" s="2" t="n">
        <v>500</v>
      </c>
      <c r="L19" s="2">
        <f>L18-K19</f>
        <v/>
      </c>
      <c r="M19" s="2">
        <f>B19-(D19+E19+F19+G19+H19+I19+K19)</f>
        <v/>
      </c>
      <c r="N19" s="2">
        <f>MAX(M19,0)</f>
        <v/>
      </c>
      <c r="O19" s="2">
        <f>MAX(-M19,0)</f>
        <v/>
      </c>
    </row>
    <row r="20">
      <c r="A20" s="2">
        <f>Données!A20</f>
        <v/>
      </c>
      <c r="B20" s="2">
        <f>Données!B20</f>
        <v/>
      </c>
      <c r="C20" s="2">
        <f>Données!E20</f>
        <v/>
      </c>
      <c r="D20" s="2" t="n">
        <v>1000</v>
      </c>
      <c r="E20" s="2" t="n">
        <v>300</v>
      </c>
      <c r="F20" s="2" t="n">
        <v>0</v>
      </c>
      <c r="G20" s="2">
        <f>Données!C20</f>
        <v/>
      </c>
      <c r="H20" s="2">
        <f>Données!D20</f>
        <v/>
      </c>
      <c r="I20" s="2" t="n">
        <v>200</v>
      </c>
      <c r="J20" s="2">
        <f>J19-I20</f>
        <v/>
      </c>
      <c r="K20" s="2" t="n">
        <v>500</v>
      </c>
      <c r="L20" s="2">
        <f>L19-K20</f>
        <v/>
      </c>
      <c r="M20" s="2">
        <f>B20-(D20+E20+F20+G20+H20+I20+K20)</f>
        <v/>
      </c>
      <c r="N20" s="2">
        <f>MAX(M20,0)</f>
        <v/>
      </c>
      <c r="O20" s="2">
        <f>MAX(-M20,0)</f>
        <v/>
      </c>
    </row>
    <row r="21">
      <c r="A21" s="2">
        <f>Données!A21</f>
        <v/>
      </c>
      <c r="B21" s="2">
        <f>Données!B21</f>
        <v/>
      </c>
      <c r="C21" s="2">
        <f>Données!E21</f>
        <v/>
      </c>
      <c r="D21" s="2" t="n">
        <v>1000</v>
      </c>
      <c r="E21" s="2" t="n">
        <v>300</v>
      </c>
      <c r="F21" s="2" t="n">
        <v>0</v>
      </c>
      <c r="G21" s="2">
        <f>Données!C21</f>
        <v/>
      </c>
      <c r="H21" s="2">
        <f>Données!D21</f>
        <v/>
      </c>
      <c r="I21" s="2" t="n">
        <v>100</v>
      </c>
      <c r="J21" s="2">
        <f>J20-I21</f>
        <v/>
      </c>
      <c r="K21" s="2" t="n">
        <v>500</v>
      </c>
      <c r="L21" s="2">
        <f>L20-K21</f>
        <v/>
      </c>
      <c r="M21" s="2">
        <f>B21-(D21+E21+F21+G21+H21+I21+K21)</f>
        <v/>
      </c>
      <c r="N21" s="2">
        <f>MAX(M21,0)</f>
        <v/>
      </c>
      <c r="O21" s="2">
        <f>MAX(-M21,0)</f>
        <v/>
      </c>
    </row>
    <row r="22">
      <c r="A22" s="2">
        <f>Données!A22</f>
        <v/>
      </c>
      <c r="B22" s="2">
        <f>Données!B22</f>
        <v/>
      </c>
      <c r="C22" s="2">
        <f>Données!E22</f>
        <v/>
      </c>
      <c r="D22" s="2" t="n">
        <v>1000</v>
      </c>
      <c r="E22" s="2" t="n">
        <v>300</v>
      </c>
      <c r="F22" s="2" t="n">
        <v>0</v>
      </c>
      <c r="G22" s="2">
        <f>Données!C22</f>
        <v/>
      </c>
      <c r="H22" s="2">
        <f>Données!D22</f>
        <v/>
      </c>
      <c r="I22" s="2" t="n">
        <v>0</v>
      </c>
      <c r="J22" s="2">
        <f>J21-I22</f>
        <v/>
      </c>
      <c r="K22" s="2" t="n">
        <v>500</v>
      </c>
      <c r="L22" s="2">
        <f>L21-K22</f>
        <v/>
      </c>
      <c r="M22" s="2">
        <f>B22-(D22+E22+F22+G22+H22+I22+K22)</f>
        <v/>
      </c>
      <c r="N22" s="2">
        <f>MAX(M22,0)</f>
        <v/>
      </c>
      <c r="O22" s="2">
        <f>MAX(-M22,0)</f>
        <v/>
      </c>
    </row>
    <row r="23">
      <c r="A23" s="2">
        <f>Données!A23</f>
        <v/>
      </c>
      <c r="B23" s="2">
        <f>Données!B23</f>
        <v/>
      </c>
      <c r="C23" s="2">
        <f>Données!E23</f>
        <v/>
      </c>
      <c r="D23" s="2" t="n">
        <v>1000</v>
      </c>
      <c r="E23" s="2" t="n">
        <v>300</v>
      </c>
      <c r="F23" s="2" t="n">
        <v>0</v>
      </c>
      <c r="G23" s="2">
        <f>Données!C23</f>
        <v/>
      </c>
      <c r="H23" s="2">
        <f>Données!D23</f>
        <v/>
      </c>
      <c r="I23" s="2" t="n">
        <v>0</v>
      </c>
      <c r="J23" s="2">
        <f>J22-I23</f>
        <v/>
      </c>
      <c r="K23" s="2" t="n">
        <v>0</v>
      </c>
      <c r="L23" s="2">
        <f>L22-K23</f>
        <v/>
      </c>
      <c r="M23" s="2">
        <f>B23-(D23+E23+F23+G23+H23+I23+K23)</f>
        <v/>
      </c>
      <c r="N23" s="2">
        <f>MAX(M23,0)</f>
        <v/>
      </c>
      <c r="O23" s="2">
        <f>MAX(-M23,0)</f>
        <v/>
      </c>
    </row>
    <row r="24">
      <c r="A24" s="2">
        <f>Données!A24</f>
        <v/>
      </c>
      <c r="B24" s="2">
        <f>Données!B24</f>
        <v/>
      </c>
      <c r="C24" s="2">
        <f>Données!E24</f>
        <v/>
      </c>
      <c r="D24" s="2" t="n">
        <v>1000</v>
      </c>
      <c r="E24" s="2" t="n">
        <v>300</v>
      </c>
      <c r="F24" s="2" t="n">
        <v>0</v>
      </c>
      <c r="G24" s="2">
        <f>Données!C24</f>
        <v/>
      </c>
      <c r="H24" s="2">
        <f>Données!D24</f>
        <v/>
      </c>
      <c r="I24" s="2" t="n">
        <v>0</v>
      </c>
      <c r="J24" s="2">
        <f>J23-I24</f>
        <v/>
      </c>
      <c r="K24" s="2" t="n">
        <v>0</v>
      </c>
      <c r="L24" s="2">
        <f>L23-K24</f>
        <v/>
      </c>
      <c r="M24" s="2">
        <f>B24-(D24+E24+F24+G24+H24+I24+K24)</f>
        <v/>
      </c>
      <c r="N24" s="2">
        <f>MAX(M24,0)</f>
        <v/>
      </c>
      <c r="O24" s="2">
        <f>MAX(-M24,0)</f>
        <v/>
      </c>
    </row>
    <row r="25">
      <c r="A25" s="2">
        <f>Données!A25</f>
        <v/>
      </c>
      <c r="B25" s="2">
        <f>Données!B25</f>
        <v/>
      </c>
      <c r="C25" s="2">
        <f>Données!E25</f>
        <v/>
      </c>
      <c r="D25" s="2" t="n">
        <v>1000</v>
      </c>
      <c r="E25" s="2" t="n">
        <v>0</v>
      </c>
      <c r="F25" s="2" t="n">
        <v>0</v>
      </c>
      <c r="G25" s="2">
        <f>Données!C25</f>
        <v/>
      </c>
      <c r="H25" s="2">
        <f>Données!D25</f>
        <v/>
      </c>
      <c r="I25" s="2" t="n">
        <v>0</v>
      </c>
      <c r="J25" s="2">
        <f>J24-I25</f>
        <v/>
      </c>
      <c r="K25" s="2" t="n">
        <v>0</v>
      </c>
      <c r="L25" s="2">
        <f>L24-K25</f>
        <v/>
      </c>
      <c r="M25" s="2">
        <f>B25-(D25+E25+F25+G25+H25+I25+K25)</f>
        <v/>
      </c>
      <c r="N25" s="2">
        <f>MAX(M25,0)</f>
        <v/>
      </c>
      <c r="O25" s="2">
        <f>MAX(-M25,0)</f>
        <v/>
      </c>
    </row>
    <row r="26">
      <c r="A26" s="2" t="inlineStr">
        <is>
          <t>Total (MWh)</t>
        </is>
      </c>
      <c r="B26" s="2">
        <f>SUM(B2:B25)</f>
        <v/>
      </c>
      <c r="C26" s="2" t="inlineStr"/>
      <c r="D26" s="2">
        <f>SUM(D2:D25)</f>
        <v/>
      </c>
      <c r="E26" s="2">
        <f>SUM(E2:E25)</f>
        <v/>
      </c>
      <c r="F26" s="2">
        <f>SUM(F2:F25)</f>
        <v/>
      </c>
      <c r="G26" s="2">
        <f>SUM(G2:G25)</f>
        <v/>
      </c>
      <c r="H26" s="2">
        <f>SUM(H2:H25)</f>
        <v/>
      </c>
      <c r="I26" s="2" t="inlineStr"/>
      <c r="J26" s="2" t="inlineStr"/>
      <c r="K26" s="2" t="inlineStr"/>
      <c r="L26" s="2" t="inlineStr"/>
      <c r="M26" s="2" t="inlineStr"/>
      <c r="N26" s="2">
        <f>SUM(N2:N25)</f>
        <v/>
      </c>
      <c r="O26" s="2">
        <f>SUM(O2:O25)</f>
        <v/>
      </c>
    </row>
    <row r="28">
      <c r="A28" s="3" t="inlineStr">
        <is>
          <t>Cases D, E, F, I, K : choix du gestionnaire. Les autres colonnes sont calculées. P = C est assuré par la colonne Marché.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2" customHeight="1">
      <c r="A1" s="1" t="inlineStr">
        <is>
          <t>Filière</t>
        </is>
      </c>
      <c r="B1" s="1" t="inlineStr">
        <is>
          <t>Energie (MWh)</t>
        </is>
      </c>
      <c r="C1" s="1" t="inlineStr">
        <is>
          <t>Coût variable (€/MWh)</t>
        </is>
      </c>
      <c r="D1" s="1" t="inlineStr">
        <is>
          <t>Coût (€)</t>
        </is>
      </c>
      <c r="E1" s="1" t="inlineStr">
        <is>
          <t>CO2 (kg/MWh)</t>
        </is>
      </c>
      <c r="F1" s="1" t="inlineStr">
        <is>
          <t>CO2 (t)</t>
        </is>
      </c>
    </row>
    <row r="2">
      <c r="A2" s="4" t="inlineStr">
        <is>
          <t>Nucléaire</t>
        </is>
      </c>
      <c r="B2" s="4">
        <f>Dispatch!D26</f>
        <v/>
      </c>
      <c r="C2" s="4">
        <f>Données!$H$2</f>
        <v/>
      </c>
      <c r="D2" s="4">
        <f>B2*C2</f>
        <v/>
      </c>
      <c r="E2" s="4">
        <f>Données!$I$2</f>
        <v/>
      </c>
      <c r="F2" s="5">
        <f>B2*E2/1000</f>
        <v/>
      </c>
    </row>
    <row r="3">
      <c r="A3" s="4" t="inlineStr">
        <is>
          <t>Hydraulique</t>
        </is>
      </c>
      <c r="B3" s="4">
        <f>Dispatch!E26</f>
        <v/>
      </c>
      <c r="C3" s="4">
        <f>Données!$H$3</f>
        <v/>
      </c>
      <c r="D3" s="4">
        <f>B3*C3</f>
        <v/>
      </c>
      <c r="E3" s="4">
        <f>Données!$I$3</f>
        <v/>
      </c>
      <c r="F3" s="5">
        <f>B3*E3/1000</f>
        <v/>
      </c>
    </row>
    <row r="4">
      <c r="A4" s="4" t="inlineStr">
        <is>
          <t>Gaz</t>
        </is>
      </c>
      <c r="B4" s="4">
        <f>Dispatch!F26</f>
        <v/>
      </c>
      <c r="C4" s="4">
        <f>Données!$H$4</f>
        <v/>
      </c>
      <c r="D4" s="4">
        <f>B4*C4</f>
        <v/>
      </c>
      <c r="E4" s="4">
        <f>Données!$I$4</f>
        <v/>
      </c>
      <c r="F4" s="5">
        <f>B4*E4/1000</f>
        <v/>
      </c>
    </row>
    <row r="5">
      <c r="A5" s="4" t="inlineStr">
        <is>
          <t>Solaire</t>
        </is>
      </c>
      <c r="B5" s="4">
        <f>Dispatch!G26</f>
        <v/>
      </c>
      <c r="C5" s="4">
        <f>Données!$H$7</f>
        <v/>
      </c>
      <c r="D5" s="4">
        <f>B5*C5</f>
        <v/>
      </c>
      <c r="E5" s="4">
        <f>Données!$I$7</f>
        <v/>
      </c>
      <c r="F5" s="5">
        <f>B5*E5/1000</f>
        <v/>
      </c>
    </row>
    <row r="6">
      <c r="A6" s="4" t="inlineStr">
        <is>
          <t>Eolien</t>
        </is>
      </c>
      <c r="B6" s="4">
        <f>Dispatch!H26</f>
        <v/>
      </c>
      <c r="C6" s="4">
        <f>Données!$H$8</f>
        <v/>
      </c>
      <c r="D6" s="4">
        <f>B6*C6</f>
        <v/>
      </c>
      <c r="E6" s="4">
        <f>Données!$I$8</f>
        <v/>
      </c>
      <c r="F6" s="5">
        <f>B6*E6/1000</f>
        <v/>
      </c>
    </row>
    <row r="7">
      <c r="A7" s="4" t="inlineStr">
        <is>
          <t>Batteries</t>
        </is>
      </c>
      <c r="B7" s="4">
        <f>SUMIF(Dispatch!I2:I25,"&gt;0")</f>
        <v/>
      </c>
      <c r="C7" s="4">
        <f>Données!$H$5</f>
        <v/>
      </c>
      <c r="D7" s="4">
        <f>B7*C7</f>
        <v/>
      </c>
      <c r="E7" s="4">
        <f>Données!$I$5</f>
        <v/>
      </c>
      <c r="F7" s="5">
        <f>B7*E7/1000</f>
        <v/>
      </c>
    </row>
    <row r="8">
      <c r="A8" s="4" t="inlineStr">
        <is>
          <t>STEP</t>
        </is>
      </c>
      <c r="B8" s="4">
        <f>SUMIF(Dispatch!K2:K25,"&gt;0")</f>
        <v/>
      </c>
      <c r="C8" s="4">
        <f>Données!$H$6</f>
        <v/>
      </c>
      <c r="D8" s="4">
        <f>B8*C8</f>
        <v/>
      </c>
      <c r="E8" s="4">
        <f>Données!$I$6</f>
        <v/>
      </c>
      <c r="F8" s="5">
        <f>B8*E8/1000</f>
        <v/>
      </c>
    </row>
    <row r="9">
      <c r="A9" s="4" t="inlineStr">
        <is>
          <t>Total production</t>
        </is>
      </c>
      <c r="B9" s="4">
        <f>SUM(B2:B8)</f>
        <v/>
      </c>
      <c r="C9" s="4" t="inlineStr"/>
      <c r="D9" s="4">
        <f>SUM(D2:D8)</f>
        <v/>
      </c>
      <c r="E9" s="4" t="inlineStr"/>
      <c r="F9" s="5">
        <f>SUM(F2:F8)</f>
        <v/>
      </c>
    </row>
    <row r="11">
      <c r="A11" s="4" t="inlineStr">
        <is>
          <t>Marché</t>
        </is>
      </c>
      <c r="B11" s="4" t="inlineStr">
        <is>
          <t>Energie (MWh)</t>
        </is>
      </c>
      <c r="C11" s="4" t="inlineStr">
        <is>
          <t>Montant (€)</t>
        </is>
      </c>
    </row>
    <row r="12">
      <c r="A12" s="4" t="inlineStr">
        <is>
          <t>Achats</t>
        </is>
      </c>
      <c r="B12" s="4">
        <f>Dispatch!N26</f>
        <v/>
      </c>
      <c r="C12" s="4">
        <f>SUMPRODUCT(Dispatch!N2:N25,Dispatch!C2:C25)</f>
        <v/>
      </c>
    </row>
    <row r="13">
      <c r="A13" s="4" t="inlineStr">
        <is>
          <t>Ventes</t>
        </is>
      </c>
      <c r="B13" s="4">
        <f>Dispatch!O26</f>
        <v/>
      </c>
      <c r="C13" s="4">
        <f>SUMPRODUCT(Dispatch!O2:O25,Dispatch!C2:C25)</f>
        <v/>
      </c>
    </row>
    <row r="15">
      <c r="A15" s="4" t="inlineStr">
        <is>
          <t>Résultat de la journée</t>
        </is>
      </c>
      <c r="B15" s="4" t="inlineStr">
        <is>
          <t>Valeur</t>
        </is>
      </c>
    </row>
    <row r="16">
      <c r="A16" s="4" t="inlineStr">
        <is>
          <t>Coûts de production (€)</t>
        </is>
      </c>
      <c r="B16" s="4">
        <f>D9</f>
        <v/>
      </c>
    </row>
    <row r="17">
      <c r="A17" s="4" t="inlineStr">
        <is>
          <t>Coût des achats (€)</t>
        </is>
      </c>
      <c r="B17" s="4">
        <f>C12</f>
        <v/>
      </c>
    </row>
    <row r="18">
      <c r="A18" s="4" t="inlineStr">
        <is>
          <t>Recettes des ventes (€)</t>
        </is>
      </c>
      <c r="B18" s="4">
        <f>C13</f>
        <v/>
      </c>
    </row>
    <row r="19">
      <c r="A19" s="4" t="inlineStr">
        <is>
          <t>Coût net (€)</t>
        </is>
      </c>
      <c r="B19" s="4">
        <f>B16+B17-B18</f>
        <v/>
      </c>
    </row>
    <row r="20">
      <c r="A20" s="4" t="inlineStr">
        <is>
          <t>Consommation (MWh)</t>
        </is>
      </c>
      <c r="B20" s="4">
        <f>Dispatch!B26</f>
        <v/>
      </c>
    </row>
    <row r="21">
      <c r="A21" s="4" t="inlineStr">
        <is>
          <t>Coût net par MWh consommé (€/MWh)</t>
        </is>
      </c>
      <c r="B21" s="6">
        <f>B19/B20</f>
        <v/>
      </c>
    </row>
    <row r="22">
      <c r="A22" s="4" t="inlineStr">
        <is>
          <t>CO2 émis (t)</t>
        </is>
      </c>
      <c r="B22" s="4">
        <f>F9</f>
        <v/>
      </c>
    </row>
    <row r="23">
      <c r="A23" s="4" t="inlineStr">
        <is>
          <t>CO2 par MWh produit (kg/MWh)</t>
        </is>
      </c>
      <c r="B23" s="6">
        <f>F9*1000/B9</f>
        <v/>
      </c>
    </row>
    <row r="25">
      <c r="A25" s="4" t="inlineStr">
        <is>
          <t>Vérification des contraintes</t>
        </is>
      </c>
      <c r="B25" s="4" t="inlineStr">
        <is>
          <t>Valeur</t>
        </is>
      </c>
      <c r="C25" s="4" t="inlineStr">
        <is>
          <t>Limite</t>
        </is>
      </c>
      <c r="D25" s="4" t="inlineStr">
        <is>
          <t>Statut</t>
        </is>
      </c>
    </row>
    <row r="26">
      <c r="A26" s="4" t="inlineStr">
        <is>
          <t>Stock batterie min (MWh)</t>
        </is>
      </c>
      <c r="B26" s="4">
        <f>MIN(Dispatch!J2:J25)</f>
        <v/>
      </c>
      <c r="C26" s="4" t="n">
        <v>0</v>
      </c>
      <c r="D26" s="4">
        <f>IF(B26&gt;=C26,"OK","Non")</f>
        <v/>
      </c>
    </row>
    <row r="27">
      <c r="A27" s="4" t="inlineStr">
        <is>
          <t>Stock batterie max (MWh)</t>
        </is>
      </c>
      <c r="B27" s="4">
        <f>MAX(Dispatch!J2:J25)</f>
        <v/>
      </c>
      <c r="C27" s="4">
        <f>Données!L5</f>
        <v/>
      </c>
      <c r="D27" s="4">
        <f>IF(B27&lt;=C27,"OK","Non")</f>
        <v/>
      </c>
    </row>
    <row r="28">
      <c r="A28" s="4" t="inlineStr">
        <is>
          <t>Puissance batterie max (MW)</t>
        </is>
      </c>
      <c r="B28" s="4">
        <f>MAX(MAX(Dispatch!I2:I25),-MIN(Dispatch!I2:I25))</f>
        <v/>
      </c>
      <c r="C28" s="4">
        <f>Données!J5</f>
        <v/>
      </c>
      <c r="D28" s="4">
        <f>IF(B28&lt;=C28,"OK","Non")</f>
        <v/>
      </c>
    </row>
    <row r="29">
      <c r="A29" s="4" t="inlineStr">
        <is>
          <t>Stock STEP min (MWh)</t>
        </is>
      </c>
      <c r="B29" s="4">
        <f>MIN(Dispatch!L2:L25)</f>
        <v/>
      </c>
      <c r="C29" s="4" t="n">
        <v>0</v>
      </c>
      <c r="D29" s="4">
        <f>IF(B29&gt;=C29,"OK","Non")</f>
        <v/>
      </c>
    </row>
    <row r="30">
      <c r="A30" s="4" t="inlineStr">
        <is>
          <t>Stock STEP max (MWh)</t>
        </is>
      </c>
      <c r="B30" s="4">
        <f>MAX(Dispatch!L2:L25)</f>
        <v/>
      </c>
      <c r="C30" s="4">
        <f>Données!L6</f>
        <v/>
      </c>
      <c r="D30" s="4">
        <f>IF(B30&lt;=C30,"OK","Non")</f>
        <v/>
      </c>
    </row>
    <row r="31">
      <c r="A31" s="4" t="inlineStr">
        <is>
          <t>Puissance STEP max (MW)</t>
        </is>
      </c>
      <c r="B31" s="4">
        <f>MAX(MAX(Dispatch!K2:K25),-MIN(Dispatch!K2:K25))</f>
        <v/>
      </c>
      <c r="C31" s="4">
        <f>Données!J6</f>
        <v/>
      </c>
      <c r="D31" s="4">
        <f>IF(B31&lt;=C31,"OK","Non")</f>
        <v/>
      </c>
    </row>
    <row r="32">
      <c r="A32" s="4" t="inlineStr">
        <is>
          <t>Hydraulique utilisée (MWh)</t>
        </is>
      </c>
      <c r="B32" s="4">
        <f>Dispatch!E26</f>
        <v/>
      </c>
      <c r="C32" s="4">
        <f>Données!K3</f>
        <v/>
      </c>
      <c r="D32" s="4">
        <f>IF(B32&lt;=C32,"OK","Non")</f>
        <v/>
      </c>
    </row>
    <row r="33">
      <c r="A33" s="4" t="inlineStr">
        <is>
          <t>Hydraulique puissance max (MW)</t>
        </is>
      </c>
      <c r="B33" s="4">
        <f>MAX(Dispatch!E2:E25)</f>
        <v/>
      </c>
      <c r="C33" s="4">
        <f>Données!J3</f>
        <v/>
      </c>
      <c r="D33" s="4">
        <f>IF(B33&lt;=C33,"OK","Non")</f>
        <v/>
      </c>
    </row>
    <row r="34">
      <c r="A34" s="4" t="inlineStr">
        <is>
          <t>Nucléaire puissance max (MW)</t>
        </is>
      </c>
      <c r="B34" s="4">
        <f>MAX(Dispatch!D2:D25)</f>
        <v/>
      </c>
      <c r="C34" s="4">
        <f>Données!J2</f>
        <v/>
      </c>
      <c r="D34" s="4">
        <f>IF(B34&lt;=C34,"OK","Non")</f>
        <v/>
      </c>
    </row>
    <row r="35">
      <c r="A35" s="4" t="inlineStr">
        <is>
          <t>Nucléaire variation sur la journée (MW)</t>
        </is>
      </c>
      <c r="B35" s="4">
        <f>MAX(Dispatch!D2:D25)-MIN(Dispatch!D2:D25)</f>
        <v/>
      </c>
      <c r="C35" s="4" t="inlineStr">
        <is>
          <t>palier ≥ 3 h</t>
        </is>
      </c>
      <c r="D35" s="4">
        <f>IF(B35=0,"OK","A vérifier")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7" t="inlineStr">
        <is>
          <t>Argumentation des choix</t>
        </is>
      </c>
    </row>
    <row r="2">
      <c r="A2" s="7" t="inlineStr"/>
    </row>
    <row r="3">
      <c r="A3" s="7" t="inlineStr">
        <is>
          <t>1. Gaz à 0 MW : son coût variable (200 €/MWh) dépasse le prix de marché à toutes les heures (max 96 €/MWh). Acheter sur le marché coûte moins cher et évite 400 kg CO2/MWh.</t>
        </is>
      </c>
    </row>
    <row r="4">
      <c r="A4" s="7" t="inlineStr">
        <is>
          <t>2. Nucléaire à 1000 MW toute la journée : coût variable 7 €/MWh, inférieur au prix de marché minimum (33 €/MWh). Chaque MWh non consommé localement est vendu avec une marge. La puissance ne varie jamais, la contrainte de maintien de 3 h est donc respectée.</t>
        </is>
      </c>
    </row>
    <row r="5">
      <c r="A5" s="7" t="inlineStr">
        <is>
          <t>3. Hydraulique : 5 €/MWh mais stock limité à 5000 MWh non reconstituable. Le stock est utilisé à 300 MW sur les 16 heures les plus chères (et 200 MW de 6h à 7h) pour valoriser chaque MWh au meilleur prix.</t>
        </is>
      </c>
    </row>
    <row r="6">
      <c r="A6" s="7" t="inlineStr">
        <is>
          <t>4. Solaire et éolien : production fatale injectée en totalité (jusqu'à 800 MW de 13h à 14h). Ajoutée au nucléaire, elle dépasse la demande dès 6h : le surplus est stocké ou vendu, ce qui maintient P = C à chaque heure.</t>
        </is>
      </c>
    </row>
    <row r="7">
      <c r="A7" s="7" t="inlineStr">
        <is>
          <t>5. STEP : un cycle complet. Pompage à 500 MW de 0h à 6h (prix 33 à 45 €/MWh), turbinage à 500 MW sur les 6 heures les plus chères (11h-13h et 17h-21h, 79 à 96 €/MWh). L'écart de prix couvre largement le coût variable de 10 €/MWh.</t>
        </is>
      </c>
    </row>
    <row r="8">
      <c r="A8" s="7" t="inlineStr">
        <is>
          <t>6. Batteries : deux cycles. Charge la nuit (2h-5h, 33 à 39 €/MWh) puis décharge en pointe du matin (10h-13h). Recharge en creux d'après-midi (13h-16h, 65 à 70 €/MWh) puis décharge en pointe du soir (17h-20h, 85 à 96 €/MWh).</t>
        </is>
      </c>
    </row>
    <row r="9">
      <c r="A9" s="7" t="inlineStr">
        <is>
          <t>7. Marché : achats uniquement la nuit, quand les prix sont bas, pour remplir STEP et batteries. Ventes le reste de la journée, surtout en pointe où le prix est le plus haut.</t>
        </is>
      </c>
    </row>
    <row r="10">
      <c r="A10" s="7" t="inlineStr"/>
    </row>
    <row r="11">
      <c r="A11" s="7" t="inlineStr">
        <is>
          <t>Résultat</t>
        </is>
      </c>
    </row>
    <row r="12">
      <c r="A12" s="7" t="inlineStr">
        <is>
          <t>Gain net d'environ 675 k€ sur la journée (936 k€ de ventes contre 224 k€ de production et 37 k€ d'achats). 545 t de CO2, soit 13 kg/MWh produit, sans aucun MWh de gaz.</t>
        </is>
      </c>
    </row>
    <row r="13">
      <c r="A13" s="7" t="inlineStr"/>
    </row>
    <row r="14">
      <c r="A14" s="7" t="inlineStr">
        <is>
          <t>Hypothèses</t>
        </is>
      </c>
    </row>
    <row r="15">
      <c r="A15" s="7" t="inlineStr">
        <is>
          <t>Rendement de stockage pris à 100 % (non précisé dans l'énoncé). Avec un rendement réaliste (75 % STEP, 90 % batterie), les cycles restent rentables car l'écart de prix nuit/pointe est d'environ 50 €/MWh.</t>
        </is>
      </c>
    </row>
    <row r="16">
      <c r="A16" s="7" t="inlineStr">
        <is>
          <t>Coût variable des stockages appliqué à l'énergie restituée. CO2 des achats non compté (attribué au producteur), CO2 de l'énergie vendue compté chez nous : elle remplace probablement une production plus carbonée ailleurs.</t>
        </is>
      </c>
    </row>
    <row r="17">
      <c r="A17" s="7" t="inlineStr">
        <is>
          <t>Le stock hydraulique est entièrement utilisé sur la journée. En exploitation réelle on garderait une réserve pour les jours suivants (valeur de l'eau).</t>
        </is>
      </c>
    </row>
    <row r="18">
      <c r="A18" s="7" t="inlineStr"/>
    </row>
    <row r="19">
      <c r="A19" s="7" t="inlineStr">
        <is>
          <t>Limites</t>
        </is>
      </c>
    </row>
    <row r="20">
      <c r="A20" s="7" t="inlineStr">
        <is>
          <t>La solution suppose que le marché absorbe tous les volumes sans faire baisser le prix. En réalité une vente de 1000 MW ferait baisser le prix de pointe.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2026-10-06T06:37:47Z</dcterms:created>
  <dcterms:modified xmlns:dcterms="http://purl.org/dc/terms/" xmlns:xsi="http://www.w3.org/2001/XMLSchema-instance" xsi:type="dcterms:W3CDTF">2026-10-06T06:37:47Z</dcterms:modified>
</cp:coreProperties>
</file>