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/>
            </a:pPr>
            <a:r>
              <a:rPr sz="1200" b="0"/>
              <a:t>Production par filière et demande (MW)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'TD3'!B3</f>
            </strRef>
          </tx>
          <spPr>
            <a:ln xmlns:a="http://schemas.openxmlformats.org/drawingml/2006/main" w="38000">
              <a:solidFill>
                <a:srgbClr val="D627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'TD3'!$B$4:$B$27</f>
            </numRef>
          </val>
          <smooth val="0"/>
        </ser>
        <ser>
          <idx val="1"/>
          <order val="1"/>
          <tx>
            <strRef>
              <f>'TD3'!F3</f>
            </strRef>
          </tx>
          <spPr>
            <a:ln xmlns:a="http://schemas.openxmlformats.org/drawingml/2006/main" w="22000">
              <a:solidFill>
                <a:srgbClr val="FF7F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'TD3'!$F$4:$F$27</f>
            </numRef>
          </val>
          <smooth val="0"/>
        </ser>
        <ser>
          <idx val="2"/>
          <order val="2"/>
          <tx>
            <strRef>
              <f>'TD3'!G3</f>
            </strRef>
          </tx>
          <spPr>
            <a:ln xmlns:a="http://schemas.openxmlformats.org/drawingml/2006/main" w="22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'TD3'!$G$4:$G$27</f>
            </numRef>
          </val>
          <smooth val="0"/>
        </ser>
        <ser>
          <idx val="3"/>
          <order val="3"/>
          <tx>
            <strRef>
              <f>'TD3'!D3</f>
            </strRef>
          </tx>
          <spPr>
            <a:ln xmlns:a="http://schemas.openxmlformats.org/drawingml/2006/main" w="22000">
              <a:solidFill>
                <a:srgbClr val="E6B8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'TD3'!$D$4:$D$27</f>
            </numRef>
          </val>
          <smooth val="0"/>
        </ser>
        <ser>
          <idx val="4"/>
          <order val="4"/>
          <tx>
            <strRef>
              <f>'TD3'!E3</f>
            </strRef>
          </tx>
          <spPr>
            <a:ln xmlns:a="http://schemas.openxmlformats.org/drawingml/2006/main" w="22000">
              <a:solidFill>
                <a:srgbClr val="2CA0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'TD3'!$E$4:$E$27</f>
            </numRef>
          </val>
          <smooth val="0"/>
        </ser>
        <ser>
          <idx val="5"/>
          <order val="5"/>
          <tx>
            <strRef>
              <f>'TD3'!I3</f>
            </strRef>
          </tx>
          <spPr>
            <a:ln xmlns:a="http://schemas.openxmlformats.org/drawingml/2006/main" w="22000">
              <a:solidFill>
                <a:srgbClr val="9467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'TD3'!$I$4:$I$27</f>
            </numRef>
          </val>
          <smooth val="0"/>
        </ser>
        <ser>
          <idx val="6"/>
          <order val="6"/>
          <tx>
            <strRef>
              <f>'TD3'!K3</f>
            </strRef>
          </tx>
          <spPr>
            <a:ln xmlns:a="http://schemas.openxmlformats.org/drawingml/2006/main" w="22000">
              <a:solidFill>
                <a:srgbClr val="17BE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'TD3'!$A$4:$A$27</f>
            </numRef>
          </cat>
          <val>
            <numRef>
              <f>'TD3'!$K$4:$K$27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  <col width="3" customWidth="1" min="15" max="15"/>
    <col width="30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TD3 - Mix énergétique avec marché, EnR et stockage (journée type)</t>
        </is>
      </c>
    </row>
    <row r="2">
      <c r="P2" s="1" t="inlineStr">
        <is>
          <t>Paramètres</t>
        </is>
      </c>
    </row>
    <row r="3" ht="48" customHeight="1">
      <c r="A3" s="2" t="inlineStr">
        <is>
          <t>Heure</t>
        </is>
      </c>
      <c r="B3" s="2" t="inlineStr">
        <is>
          <t>Demande (MW)</t>
        </is>
      </c>
      <c r="C3" s="2" t="inlineStr">
        <is>
          <t>Prix (€/MWh)</t>
        </is>
      </c>
      <c r="D3" s="2" t="inlineStr">
        <is>
          <t>Solaire (MW)</t>
        </is>
      </c>
      <c r="E3" s="2" t="inlineStr">
        <is>
          <t>Eolien (MW)</t>
        </is>
      </c>
      <c r="F3" s="2" t="inlineStr">
        <is>
          <t>Nucléaire (MW)</t>
        </is>
      </c>
      <c r="G3" s="2" t="inlineStr">
        <is>
          <t>Hydraulique (MW)</t>
        </is>
      </c>
      <c r="H3" s="2" t="inlineStr">
        <is>
          <t>Gaz (MW)</t>
        </is>
      </c>
      <c r="I3" s="2" t="inlineStr">
        <is>
          <t>Batterie (MW) + décharge / - charge</t>
        </is>
      </c>
      <c r="J3" s="2" t="inlineStr">
        <is>
          <t>Stock batterie (MWh)</t>
        </is>
      </c>
      <c r="K3" s="2" t="inlineStr">
        <is>
          <t>STEP (MW) + turbine / - pompe</t>
        </is>
      </c>
      <c r="L3" s="2" t="inlineStr">
        <is>
          <t>Stock STEP (MWh)</t>
        </is>
      </c>
      <c r="M3" s="2" t="inlineStr">
        <is>
          <t>Achat (MW)</t>
        </is>
      </c>
      <c r="N3" s="2" t="inlineStr">
        <is>
          <t>Vente (MW)</t>
        </is>
      </c>
      <c r="P3" s="2" t="inlineStr">
        <is>
          <t>Filière</t>
        </is>
      </c>
      <c r="Q3" s="2" t="inlineStr">
        <is>
          <t>Coût variable (€/MWh)</t>
        </is>
      </c>
      <c r="R3" s="2" t="inlineStr">
        <is>
          <t>CO2 (kg/MWh)</t>
        </is>
      </c>
      <c r="S3" s="2" t="inlineStr">
        <is>
          <t>Puissance max (MW)</t>
        </is>
      </c>
      <c r="T3" s="2" t="inlineStr">
        <is>
          <t>Stock initial (MWh)</t>
        </is>
      </c>
      <c r="U3" s="2" t="inlineStr">
        <is>
          <t>Capacité (MWh)</t>
        </is>
      </c>
    </row>
    <row r="4">
      <c r="A4" s="3" t="inlineStr">
        <is>
          <t>0h-1h</t>
        </is>
      </c>
      <c r="B4" s="3" t="n">
        <v>800</v>
      </c>
      <c r="C4" s="3" t="n">
        <v>45</v>
      </c>
      <c r="D4" s="3" t="n">
        <v>0</v>
      </c>
      <c r="E4" s="3" t="n">
        <v>200</v>
      </c>
      <c r="F4" s="3" t="n">
        <v>1000</v>
      </c>
      <c r="G4" s="3" t="n">
        <v>0</v>
      </c>
      <c r="H4" s="3" t="n">
        <v>0</v>
      </c>
      <c r="I4" s="3" t="n">
        <v>0</v>
      </c>
      <c r="J4" s="3">
        <f>$T$9-I4</f>
        <v/>
      </c>
      <c r="K4" s="3" t="n">
        <v>-500</v>
      </c>
      <c r="L4" s="3">
        <f>$T$10-K4</f>
        <v/>
      </c>
      <c r="M4" s="3">
        <f>MAX(-((F4+G4+H4+D4+E4+I4+K4)-B4),0)</f>
        <v/>
      </c>
      <c r="N4" s="3">
        <f>MAX((F4+G4+H4+D4+E4+I4+K4)-B4,0)</f>
        <v/>
      </c>
      <c r="P4" s="4" t="inlineStr">
        <is>
          <t>Nucléaire</t>
        </is>
      </c>
      <c r="Q4" s="4" t="n">
        <v>7</v>
      </c>
      <c r="R4" s="4" t="n">
        <v>12</v>
      </c>
      <c r="S4" s="4" t="n">
        <v>1000</v>
      </c>
      <c r="T4" s="4" t="inlineStr">
        <is>
          <t>infini</t>
        </is>
      </c>
      <c r="U4" s="4" t="inlineStr">
        <is>
          <t>-</t>
        </is>
      </c>
    </row>
    <row r="5">
      <c r="A5" s="3" t="inlineStr">
        <is>
          <t>1h-2h</t>
        </is>
      </c>
      <c r="B5" s="3" t="n">
        <v>700</v>
      </c>
      <c r="C5" s="3" t="n">
        <v>42</v>
      </c>
      <c r="D5" s="3" t="n">
        <v>0</v>
      </c>
      <c r="E5" s="3" t="n">
        <v>100</v>
      </c>
      <c r="F5" s="3" t="n">
        <v>1000</v>
      </c>
      <c r="G5" s="3" t="n">
        <v>0</v>
      </c>
      <c r="H5" s="3" t="n">
        <v>0</v>
      </c>
      <c r="I5" s="3" t="n">
        <v>0</v>
      </c>
      <c r="J5" s="3">
        <f>J4-I5</f>
        <v/>
      </c>
      <c r="K5" s="3" t="n">
        <v>-500</v>
      </c>
      <c r="L5" s="3">
        <f>L4-K5</f>
        <v/>
      </c>
      <c r="M5" s="3">
        <f>MAX(-((F5+G5+H5+D5+E5+I5+K5)-B5),0)</f>
        <v/>
      </c>
      <c r="N5" s="3">
        <f>MAX((F5+G5+H5+D5+E5+I5+K5)-B5,0)</f>
        <v/>
      </c>
      <c r="P5" s="4" t="inlineStr">
        <is>
          <t>Hydraulique</t>
        </is>
      </c>
      <c r="Q5" s="4" t="n">
        <v>5</v>
      </c>
      <c r="R5" s="4" t="n">
        <v>4</v>
      </c>
      <c r="S5" s="4" t="n">
        <v>300</v>
      </c>
      <c r="T5" s="4" t="n">
        <v>5000</v>
      </c>
      <c r="U5" s="4" t="inlineStr">
        <is>
          <t>-</t>
        </is>
      </c>
    </row>
    <row r="6">
      <c r="A6" s="3" t="inlineStr">
        <is>
          <t>2h-3h</t>
        </is>
      </c>
      <c r="B6" s="3" t="n">
        <v>650</v>
      </c>
      <c r="C6" s="3" t="n">
        <v>39</v>
      </c>
      <c r="D6" s="3" t="n">
        <v>0</v>
      </c>
      <c r="E6" s="3" t="n">
        <v>50</v>
      </c>
      <c r="F6" s="3" t="n">
        <v>1000</v>
      </c>
      <c r="G6" s="3" t="n">
        <v>0</v>
      </c>
      <c r="H6" s="3" t="n">
        <v>0</v>
      </c>
      <c r="I6" s="3" t="n">
        <v>-100</v>
      </c>
      <c r="J6" s="3">
        <f>J5-I6</f>
        <v/>
      </c>
      <c r="K6" s="3" t="n">
        <v>-500</v>
      </c>
      <c r="L6" s="3">
        <f>L5-K6</f>
        <v/>
      </c>
      <c r="M6" s="3">
        <f>MAX(-((F6+G6+H6+D6+E6+I6+K6)-B6),0)</f>
        <v/>
      </c>
      <c r="N6" s="3">
        <f>MAX((F6+G6+H6+D6+E6+I6+K6)-B6,0)</f>
        <v/>
      </c>
      <c r="P6" s="4" t="inlineStr">
        <is>
          <t>Gaz</t>
        </is>
      </c>
      <c r="Q6" s="4" t="n">
        <v>200</v>
      </c>
      <c r="R6" s="4" t="n">
        <v>400</v>
      </c>
      <c r="S6" s="4" t="n">
        <v>500</v>
      </c>
      <c r="T6" s="4" t="inlineStr">
        <is>
          <t>infini</t>
        </is>
      </c>
      <c r="U6" s="4" t="inlineStr">
        <is>
          <t>-</t>
        </is>
      </c>
    </row>
    <row r="7">
      <c r="A7" s="3" t="inlineStr">
        <is>
          <t>3h-4h</t>
        </is>
      </c>
      <c r="B7" s="3" t="n">
        <v>600</v>
      </c>
      <c r="C7" s="3" t="n">
        <v>34</v>
      </c>
      <c r="D7" s="3" t="n">
        <v>0</v>
      </c>
      <c r="E7" s="3" t="n">
        <v>0</v>
      </c>
      <c r="F7" s="3" t="n">
        <v>1000</v>
      </c>
      <c r="G7" s="3" t="n">
        <v>0</v>
      </c>
      <c r="H7" s="3" t="n">
        <v>0</v>
      </c>
      <c r="I7" s="3" t="n">
        <v>-200</v>
      </c>
      <c r="J7" s="3">
        <f>J6-I7</f>
        <v/>
      </c>
      <c r="K7" s="3" t="n">
        <v>-500</v>
      </c>
      <c r="L7" s="3">
        <f>L6-K7</f>
        <v/>
      </c>
      <c r="M7" s="3">
        <f>MAX(-((F7+G7+H7+D7+E7+I7+K7)-B7),0)</f>
        <v/>
      </c>
      <c r="N7" s="3">
        <f>MAX((F7+G7+H7+D7+E7+I7+K7)-B7,0)</f>
        <v/>
      </c>
      <c r="P7" s="4" t="inlineStr">
        <is>
          <t>Solaire</t>
        </is>
      </c>
      <c r="Q7" s="4" t="n">
        <v>0</v>
      </c>
      <c r="R7" s="4" t="n">
        <v>30</v>
      </c>
      <c r="S7" s="4" t="inlineStr">
        <is>
          <t>profil</t>
        </is>
      </c>
      <c r="T7" s="4" t="inlineStr">
        <is>
          <t>-</t>
        </is>
      </c>
      <c r="U7" s="4" t="inlineStr">
        <is>
          <t>-</t>
        </is>
      </c>
    </row>
    <row r="8">
      <c r="A8" s="3" t="inlineStr">
        <is>
          <t>4h-5h</t>
        </is>
      </c>
      <c r="B8" s="3" t="n">
        <v>600</v>
      </c>
      <c r="C8" s="3" t="n">
        <v>33</v>
      </c>
      <c r="D8" s="3" t="n">
        <v>0</v>
      </c>
      <c r="E8" s="3" t="n">
        <v>50</v>
      </c>
      <c r="F8" s="3" t="n">
        <v>1000</v>
      </c>
      <c r="G8" s="3" t="n">
        <v>0</v>
      </c>
      <c r="H8" s="3" t="n">
        <v>0</v>
      </c>
      <c r="I8" s="3" t="n">
        <v>-200</v>
      </c>
      <c r="J8" s="3">
        <f>J7-I8</f>
        <v/>
      </c>
      <c r="K8" s="3" t="n">
        <v>-500</v>
      </c>
      <c r="L8" s="3">
        <f>L7-K8</f>
        <v/>
      </c>
      <c r="M8" s="3">
        <f>MAX(-((F8+G8+H8+D8+E8+I8+K8)-B8),0)</f>
        <v/>
      </c>
      <c r="N8" s="3">
        <f>MAX((F8+G8+H8+D8+E8+I8+K8)-B8,0)</f>
        <v/>
      </c>
      <c r="P8" s="4" t="inlineStr">
        <is>
          <t>Eolien</t>
        </is>
      </c>
      <c r="Q8" s="4" t="n">
        <v>0</v>
      </c>
      <c r="R8" s="4" t="n">
        <v>12</v>
      </c>
      <c r="S8" s="4" t="inlineStr">
        <is>
          <t>profil</t>
        </is>
      </c>
      <c r="T8" s="4" t="inlineStr">
        <is>
          <t>-</t>
        </is>
      </c>
      <c r="U8" s="4" t="inlineStr">
        <is>
          <t>-</t>
        </is>
      </c>
    </row>
    <row r="9">
      <c r="A9" s="3" t="inlineStr">
        <is>
          <t>5h-6h</t>
        </is>
      </c>
      <c r="B9" s="3" t="n">
        <v>700</v>
      </c>
      <c r="C9" s="3" t="n">
        <v>40</v>
      </c>
      <c r="D9" s="3" t="n">
        <v>50</v>
      </c>
      <c r="E9" s="3" t="n">
        <v>100</v>
      </c>
      <c r="F9" s="3" t="n">
        <v>1000</v>
      </c>
      <c r="G9" s="3" t="n">
        <v>0</v>
      </c>
      <c r="H9" s="3" t="n">
        <v>0</v>
      </c>
      <c r="I9" s="3" t="n">
        <v>0</v>
      </c>
      <c r="J9" s="3">
        <f>J8-I9</f>
        <v/>
      </c>
      <c r="K9" s="3" t="n">
        <v>-500</v>
      </c>
      <c r="L9" s="3">
        <f>L8-K9</f>
        <v/>
      </c>
      <c r="M9" s="3">
        <f>MAX(-((F9+G9+H9+D9+E9+I9+K9)-B9),0)</f>
        <v/>
      </c>
      <c r="N9" s="3">
        <f>MAX((F9+G9+H9+D9+E9+I9+K9)-B9,0)</f>
        <v/>
      </c>
      <c r="P9" s="4" t="inlineStr">
        <is>
          <t>Batteries</t>
        </is>
      </c>
      <c r="Q9" s="4" t="n">
        <v>1</v>
      </c>
      <c r="R9" s="4" t="n">
        <v>20</v>
      </c>
      <c r="S9" s="4" t="n">
        <v>200</v>
      </c>
      <c r="T9" s="4" t="n">
        <v>0</v>
      </c>
      <c r="U9" s="4" t="n">
        <v>500</v>
      </c>
    </row>
    <row r="10">
      <c r="A10" s="3" t="inlineStr">
        <is>
          <t>6h-7h</t>
        </is>
      </c>
      <c r="B10" s="3" t="n">
        <v>900</v>
      </c>
      <c r="C10" s="3" t="n">
        <v>51</v>
      </c>
      <c r="D10" s="3" t="n">
        <v>150</v>
      </c>
      <c r="E10" s="3" t="n">
        <v>200</v>
      </c>
      <c r="F10" s="3" t="n">
        <v>1000</v>
      </c>
      <c r="G10" s="3" t="n">
        <v>200</v>
      </c>
      <c r="H10" s="3" t="n">
        <v>0</v>
      </c>
      <c r="I10" s="3" t="n">
        <v>0</v>
      </c>
      <c r="J10" s="3">
        <f>J9-I10</f>
        <v/>
      </c>
      <c r="K10" s="3" t="n">
        <v>0</v>
      </c>
      <c r="L10" s="3">
        <f>L9-K10</f>
        <v/>
      </c>
      <c r="M10" s="3">
        <f>MAX(-((F10+G10+H10+D10+E10+I10+K10)-B10),0)</f>
        <v/>
      </c>
      <c r="N10" s="3">
        <f>MAX((F10+G10+H10+D10+E10+I10+K10)-B10,0)</f>
        <v/>
      </c>
      <c r="P10" s="4" t="inlineStr">
        <is>
          <t>STEP</t>
        </is>
      </c>
      <c r="Q10" s="4" t="n">
        <v>10</v>
      </c>
      <c r="R10" s="4" t="n">
        <v>10</v>
      </c>
      <c r="S10" s="4" t="n">
        <v>500</v>
      </c>
      <c r="T10" s="4" t="n">
        <v>0</v>
      </c>
      <c r="U10" s="4" t="n">
        <v>3000</v>
      </c>
    </row>
    <row r="11">
      <c r="A11" s="3" t="inlineStr">
        <is>
          <t>7h-8h</t>
        </is>
      </c>
      <c r="B11" s="3" t="n">
        <v>1100</v>
      </c>
      <c r="C11" s="3" t="n">
        <v>61</v>
      </c>
      <c r="D11" s="3" t="n">
        <v>200</v>
      </c>
      <c r="E11" s="3" t="n">
        <v>300</v>
      </c>
      <c r="F11" s="3" t="n">
        <v>1000</v>
      </c>
      <c r="G11" s="3" t="n">
        <v>300</v>
      </c>
      <c r="H11" s="3" t="n">
        <v>0</v>
      </c>
      <c r="I11" s="3" t="n">
        <v>0</v>
      </c>
      <c r="J11" s="3">
        <f>J10-I11</f>
        <v/>
      </c>
      <c r="K11" s="3" t="n">
        <v>0</v>
      </c>
      <c r="L11" s="3">
        <f>L10-K11</f>
        <v/>
      </c>
      <c r="M11" s="3">
        <f>MAX(-((F11+G11+H11+D11+E11+I11+K11)-B11),0)</f>
        <v/>
      </c>
      <c r="N11" s="3">
        <f>MAX((F11+G11+H11+D11+E11+I11+K11)-B11,0)</f>
        <v/>
      </c>
    </row>
    <row r="12">
      <c r="A12" s="3" t="inlineStr">
        <is>
          <t>8h-9h</t>
        </is>
      </c>
      <c r="B12" s="3" t="n">
        <v>1200</v>
      </c>
      <c r="C12" s="3" t="n">
        <v>68</v>
      </c>
      <c r="D12" s="3" t="n">
        <v>200</v>
      </c>
      <c r="E12" s="3" t="n">
        <v>500</v>
      </c>
      <c r="F12" s="3" t="n">
        <v>1000</v>
      </c>
      <c r="G12" s="3" t="n">
        <v>300</v>
      </c>
      <c r="H12" s="3" t="n">
        <v>0</v>
      </c>
      <c r="I12" s="3" t="n">
        <v>0</v>
      </c>
      <c r="J12" s="3">
        <f>J11-I12</f>
        <v/>
      </c>
      <c r="K12" s="3" t="n">
        <v>0</v>
      </c>
      <c r="L12" s="3">
        <f>L11-K12</f>
        <v/>
      </c>
      <c r="M12" s="3">
        <f>MAX(-((F12+G12+H12+D12+E12+I12+K12)-B12),0)</f>
        <v/>
      </c>
      <c r="N12" s="3">
        <f>MAX((F12+G12+H12+D12+E12+I12+K12)-B12,0)</f>
        <v/>
      </c>
      <c r="P12" s="4" t="inlineStr">
        <is>
          <t>Filière</t>
        </is>
      </c>
      <c r="Q12" s="4" t="inlineStr">
        <is>
          <t>Energie (MWh)</t>
        </is>
      </c>
      <c r="R12" s="4" t="inlineStr">
        <is>
          <t>Coût (€)</t>
        </is>
      </c>
      <c r="S12" s="4" t="inlineStr">
        <is>
          <t>CO2 (t)</t>
        </is>
      </c>
    </row>
    <row r="13">
      <c r="A13" s="3" t="inlineStr">
        <is>
          <t>9h-10h</t>
        </is>
      </c>
      <c r="B13" s="3" t="n">
        <v>1250</v>
      </c>
      <c r="C13" s="3" t="n">
        <v>74</v>
      </c>
      <c r="D13" s="3" t="n">
        <v>250</v>
      </c>
      <c r="E13" s="3" t="n">
        <v>500</v>
      </c>
      <c r="F13" s="3" t="n">
        <v>1000</v>
      </c>
      <c r="G13" s="3" t="n">
        <v>300</v>
      </c>
      <c r="H13" s="3" t="n">
        <v>0</v>
      </c>
      <c r="I13" s="3" t="n">
        <v>0</v>
      </c>
      <c r="J13" s="3">
        <f>J12-I13</f>
        <v/>
      </c>
      <c r="K13" s="3" t="n">
        <v>0</v>
      </c>
      <c r="L13" s="3">
        <f>L12-K13</f>
        <v/>
      </c>
      <c r="M13" s="3">
        <f>MAX(-((F13+G13+H13+D13+E13+I13+K13)-B13),0)</f>
        <v/>
      </c>
      <c r="N13" s="3">
        <f>MAX((F13+G13+H13+D13+E13+I13+K13)-B13,0)</f>
        <v/>
      </c>
      <c r="P13" s="4" t="inlineStr">
        <is>
          <t>Nucléaire</t>
        </is>
      </c>
      <c r="Q13" s="5">
        <f>F28</f>
        <v/>
      </c>
      <c r="R13" s="5">
        <f>Q13*Q4</f>
        <v/>
      </c>
      <c r="S13" s="6">
        <f>Q13*R4/1000</f>
        <v/>
      </c>
    </row>
    <row r="14">
      <c r="A14" s="3" t="inlineStr">
        <is>
          <t>10h-11h</t>
        </is>
      </c>
      <c r="B14" s="3" t="n">
        <v>1300</v>
      </c>
      <c r="C14" s="3" t="n">
        <v>78</v>
      </c>
      <c r="D14" s="3" t="n">
        <v>300</v>
      </c>
      <c r="E14" s="3" t="n">
        <v>450</v>
      </c>
      <c r="F14" s="3" t="n">
        <v>1000</v>
      </c>
      <c r="G14" s="3" t="n">
        <v>300</v>
      </c>
      <c r="H14" s="3" t="n">
        <v>0</v>
      </c>
      <c r="I14" s="3" t="n">
        <v>100</v>
      </c>
      <c r="J14" s="3">
        <f>J13-I14</f>
        <v/>
      </c>
      <c r="K14" s="3" t="n">
        <v>0</v>
      </c>
      <c r="L14" s="3">
        <f>L13-K14</f>
        <v/>
      </c>
      <c r="M14" s="3">
        <f>MAX(-((F14+G14+H14+D14+E14+I14+K14)-B14),0)</f>
        <v/>
      </c>
      <c r="N14" s="3">
        <f>MAX((F14+G14+H14+D14+E14+I14+K14)-B14,0)</f>
        <v/>
      </c>
      <c r="P14" s="4" t="inlineStr">
        <is>
          <t>Hydraulique</t>
        </is>
      </c>
      <c r="Q14" s="5">
        <f>G28</f>
        <v/>
      </c>
      <c r="R14" s="5">
        <f>Q14*Q5</f>
        <v/>
      </c>
      <c r="S14" s="6">
        <f>Q14*R5/1000</f>
        <v/>
      </c>
    </row>
    <row r="15">
      <c r="A15" s="3" t="inlineStr">
        <is>
          <t>11h-12h</t>
        </is>
      </c>
      <c r="B15" s="3" t="n">
        <v>1350</v>
      </c>
      <c r="C15" s="3" t="n">
        <v>81</v>
      </c>
      <c r="D15" s="3" t="n">
        <v>350</v>
      </c>
      <c r="E15" s="3" t="n">
        <v>300</v>
      </c>
      <c r="F15" s="3" t="n">
        <v>1000</v>
      </c>
      <c r="G15" s="3" t="n">
        <v>300</v>
      </c>
      <c r="H15" s="3" t="n">
        <v>0</v>
      </c>
      <c r="I15" s="3" t="n">
        <v>200</v>
      </c>
      <c r="J15" s="3">
        <f>J14-I15</f>
        <v/>
      </c>
      <c r="K15" s="3" t="n">
        <v>500</v>
      </c>
      <c r="L15" s="3">
        <f>L14-K15</f>
        <v/>
      </c>
      <c r="M15" s="3">
        <f>MAX(-((F15+G15+H15+D15+E15+I15+K15)-B15),0)</f>
        <v/>
      </c>
      <c r="N15" s="3">
        <f>MAX((F15+G15+H15+D15+E15+I15+K15)-B15,0)</f>
        <v/>
      </c>
      <c r="P15" s="4" t="inlineStr">
        <is>
          <t>Gaz</t>
        </is>
      </c>
      <c r="Q15" s="5">
        <f>H28</f>
        <v/>
      </c>
      <c r="R15" s="5">
        <f>Q15*Q6</f>
        <v/>
      </c>
      <c r="S15" s="6">
        <f>Q15*R6/1000</f>
        <v/>
      </c>
    </row>
    <row r="16">
      <c r="A16" s="3" t="inlineStr">
        <is>
          <t>12h-13h</t>
        </is>
      </c>
      <c r="B16" s="3" t="n">
        <v>1300</v>
      </c>
      <c r="C16" s="3" t="n">
        <v>80</v>
      </c>
      <c r="D16" s="3" t="n">
        <v>400</v>
      </c>
      <c r="E16" s="3" t="n">
        <v>300</v>
      </c>
      <c r="F16" s="3" t="n">
        <v>1000</v>
      </c>
      <c r="G16" s="3" t="n">
        <v>300</v>
      </c>
      <c r="H16" s="3" t="n">
        <v>0</v>
      </c>
      <c r="I16" s="3" t="n">
        <v>200</v>
      </c>
      <c r="J16" s="3">
        <f>J15-I16</f>
        <v/>
      </c>
      <c r="K16" s="3" t="n">
        <v>500</v>
      </c>
      <c r="L16" s="3">
        <f>L15-K16</f>
        <v/>
      </c>
      <c r="M16" s="3">
        <f>MAX(-((F16+G16+H16+D16+E16+I16+K16)-B16),0)</f>
        <v/>
      </c>
      <c r="N16" s="3">
        <f>MAX((F16+G16+H16+D16+E16+I16+K16)-B16,0)</f>
        <v/>
      </c>
      <c r="P16" s="4" t="inlineStr">
        <is>
          <t>Solaire</t>
        </is>
      </c>
      <c r="Q16" s="5">
        <f>D28</f>
        <v/>
      </c>
      <c r="R16" s="5">
        <f>Q16*Q7</f>
        <v/>
      </c>
      <c r="S16" s="6">
        <f>Q16*R7/1000</f>
        <v/>
      </c>
    </row>
    <row r="17">
      <c r="A17" s="3" t="inlineStr">
        <is>
          <t>13h-14h</t>
        </is>
      </c>
      <c r="B17" s="3" t="n">
        <v>1250</v>
      </c>
      <c r="C17" s="3" t="n">
        <v>70</v>
      </c>
      <c r="D17" s="3" t="n">
        <v>500</v>
      </c>
      <c r="E17" s="3" t="n">
        <v>300</v>
      </c>
      <c r="F17" s="3" t="n">
        <v>1000</v>
      </c>
      <c r="G17" s="3" t="n">
        <v>300</v>
      </c>
      <c r="H17" s="3" t="n">
        <v>0</v>
      </c>
      <c r="I17" s="3" t="n">
        <v>-100</v>
      </c>
      <c r="J17" s="3">
        <f>J16-I17</f>
        <v/>
      </c>
      <c r="K17" s="3" t="n">
        <v>0</v>
      </c>
      <c r="L17" s="3">
        <f>L16-K17</f>
        <v/>
      </c>
      <c r="M17" s="3">
        <f>MAX(-((F17+G17+H17+D17+E17+I17+K17)-B17),0)</f>
        <v/>
      </c>
      <c r="N17" s="3">
        <f>MAX((F17+G17+H17+D17+E17+I17+K17)-B17,0)</f>
        <v/>
      </c>
      <c r="P17" s="4" t="inlineStr">
        <is>
          <t>Eolien</t>
        </is>
      </c>
      <c r="Q17" s="5">
        <f>E28</f>
        <v/>
      </c>
      <c r="R17" s="5">
        <f>Q17*Q8</f>
        <v/>
      </c>
      <c r="S17" s="6">
        <f>Q17*R8/1000</f>
        <v/>
      </c>
    </row>
    <row r="18">
      <c r="A18" s="3" t="inlineStr">
        <is>
          <t>14h-15h</t>
        </is>
      </c>
      <c r="B18" s="3" t="n">
        <v>1200</v>
      </c>
      <c r="C18" s="3" t="n">
        <v>68</v>
      </c>
      <c r="D18" s="3" t="n">
        <v>400</v>
      </c>
      <c r="E18" s="3" t="n">
        <v>200</v>
      </c>
      <c r="F18" s="3" t="n">
        <v>1000</v>
      </c>
      <c r="G18" s="3" t="n">
        <v>300</v>
      </c>
      <c r="H18" s="3" t="n">
        <v>0</v>
      </c>
      <c r="I18" s="3" t="n">
        <v>-200</v>
      </c>
      <c r="J18" s="3">
        <f>J17-I18</f>
        <v/>
      </c>
      <c r="K18" s="3" t="n">
        <v>0</v>
      </c>
      <c r="L18" s="3">
        <f>L17-K18</f>
        <v/>
      </c>
      <c r="M18" s="3">
        <f>MAX(-((F18+G18+H18+D18+E18+I18+K18)-B18),0)</f>
        <v/>
      </c>
      <c r="N18" s="3">
        <f>MAX((F18+G18+H18+D18+E18+I18+K18)-B18,0)</f>
        <v/>
      </c>
      <c r="P18" s="4" t="inlineStr">
        <is>
          <t>Batteries</t>
        </is>
      </c>
      <c r="Q18" s="5">
        <f>SUMIF(I4:I27,"&gt;0")</f>
        <v/>
      </c>
      <c r="R18" s="5">
        <f>Q18*Q9</f>
        <v/>
      </c>
      <c r="S18" s="6">
        <f>Q18*R9/1000</f>
        <v/>
      </c>
    </row>
    <row r="19">
      <c r="A19" s="3" t="inlineStr">
        <is>
          <t>15h-16h</t>
        </is>
      </c>
      <c r="B19" s="3" t="n">
        <v>1150</v>
      </c>
      <c r="C19" s="3" t="n">
        <v>65</v>
      </c>
      <c r="D19" s="3" t="n">
        <v>350</v>
      </c>
      <c r="E19" s="3" t="n">
        <v>100</v>
      </c>
      <c r="F19" s="3" t="n">
        <v>1000</v>
      </c>
      <c r="G19" s="3" t="n">
        <v>300</v>
      </c>
      <c r="H19" s="3" t="n">
        <v>0</v>
      </c>
      <c r="I19" s="3" t="n">
        <v>-200</v>
      </c>
      <c r="J19" s="3">
        <f>J18-I19</f>
        <v/>
      </c>
      <c r="K19" s="3" t="n">
        <v>0</v>
      </c>
      <c r="L19" s="3">
        <f>L18-K19</f>
        <v/>
      </c>
      <c r="M19" s="3">
        <f>MAX(-((F19+G19+H19+D19+E19+I19+K19)-B19),0)</f>
        <v/>
      </c>
      <c r="N19" s="3">
        <f>MAX((F19+G19+H19+D19+E19+I19+K19)-B19,0)</f>
        <v/>
      </c>
      <c r="P19" s="4" t="inlineStr">
        <is>
          <t>STEP</t>
        </is>
      </c>
      <c r="Q19" s="5">
        <f>SUMIF(K4:K27,"&gt;0")</f>
        <v/>
      </c>
      <c r="R19" s="5">
        <f>Q19*Q10</f>
        <v/>
      </c>
      <c r="S19" s="6">
        <f>Q19*R10/1000</f>
        <v/>
      </c>
    </row>
    <row r="20">
      <c r="A20" s="3" t="inlineStr">
        <is>
          <t>16h-17h</t>
        </is>
      </c>
      <c r="B20" s="3" t="n">
        <v>1300</v>
      </c>
      <c r="C20" s="3" t="n">
        <v>78</v>
      </c>
      <c r="D20" s="3" t="n">
        <v>350</v>
      </c>
      <c r="E20" s="3" t="n">
        <v>200</v>
      </c>
      <c r="F20" s="3" t="n">
        <v>1000</v>
      </c>
      <c r="G20" s="3" t="n">
        <v>300</v>
      </c>
      <c r="H20" s="3" t="n">
        <v>0</v>
      </c>
      <c r="I20" s="3" t="n">
        <v>0</v>
      </c>
      <c r="J20" s="3">
        <f>J19-I20</f>
        <v/>
      </c>
      <c r="K20" s="3" t="n">
        <v>0</v>
      </c>
      <c r="L20" s="3">
        <f>L19-K20</f>
        <v/>
      </c>
      <c r="M20" s="3">
        <f>MAX(-((F20+G20+H20+D20+E20+I20+K20)-B20),0)</f>
        <v/>
      </c>
      <c r="N20" s="3">
        <f>MAX((F20+G20+H20+D20+E20+I20+K20)-B20,0)</f>
        <v/>
      </c>
      <c r="P20" s="4" t="inlineStr">
        <is>
          <t>Total</t>
        </is>
      </c>
      <c r="Q20" s="5">
        <f>SUM(Q13:Q19)</f>
        <v/>
      </c>
      <c r="R20" s="5">
        <f>SUM(R13:R19)</f>
        <v/>
      </c>
      <c r="S20" s="6">
        <f>SUM(S13:S19)</f>
        <v/>
      </c>
    </row>
    <row r="21">
      <c r="A21" s="3" t="inlineStr">
        <is>
          <t>17h-18h</t>
        </is>
      </c>
      <c r="B21" s="3" t="n">
        <v>1500</v>
      </c>
      <c r="C21" s="3" t="n">
        <v>95</v>
      </c>
      <c r="D21" s="3" t="n">
        <v>300</v>
      </c>
      <c r="E21" s="3" t="n">
        <v>200</v>
      </c>
      <c r="F21" s="3" t="n">
        <v>1000</v>
      </c>
      <c r="G21" s="3" t="n">
        <v>300</v>
      </c>
      <c r="H21" s="3" t="n">
        <v>0</v>
      </c>
      <c r="I21" s="3" t="n">
        <v>200</v>
      </c>
      <c r="J21" s="3">
        <f>J20-I21</f>
        <v/>
      </c>
      <c r="K21" s="3" t="n">
        <v>500</v>
      </c>
      <c r="L21" s="3">
        <f>L20-K21</f>
        <v/>
      </c>
      <c r="M21" s="3">
        <f>MAX(-((F21+G21+H21+D21+E21+I21+K21)-B21),0)</f>
        <v/>
      </c>
      <c r="N21" s="3">
        <f>MAX((F21+G21+H21+D21+E21+I21+K21)-B21,0)</f>
        <v/>
      </c>
    </row>
    <row r="22">
      <c r="A22" s="3" t="inlineStr">
        <is>
          <t>18h-19h</t>
        </is>
      </c>
      <c r="B22" s="3" t="n">
        <v>1600</v>
      </c>
      <c r="C22" s="3" t="n">
        <v>96</v>
      </c>
      <c r="D22" s="3" t="n">
        <v>300</v>
      </c>
      <c r="E22" s="3" t="n">
        <v>100</v>
      </c>
      <c r="F22" s="3" t="n">
        <v>1000</v>
      </c>
      <c r="G22" s="3" t="n">
        <v>300</v>
      </c>
      <c r="H22" s="3" t="n">
        <v>0</v>
      </c>
      <c r="I22" s="3" t="n">
        <v>200</v>
      </c>
      <c r="J22" s="3">
        <f>J21-I22</f>
        <v/>
      </c>
      <c r="K22" s="3" t="n">
        <v>500</v>
      </c>
      <c r="L22" s="3">
        <f>L21-K22</f>
        <v/>
      </c>
      <c r="M22" s="3">
        <f>MAX(-((F22+G22+H22+D22+E22+I22+K22)-B22),0)</f>
        <v/>
      </c>
      <c r="N22" s="3">
        <f>MAX((F22+G22+H22+D22+E22+I22+K22)-B22,0)</f>
        <v/>
      </c>
      <c r="P22" s="7" t="inlineStr">
        <is>
          <t>Achats (MWh)</t>
        </is>
      </c>
      <c r="Q22" s="5">
        <f>M28</f>
        <v/>
      </c>
    </row>
    <row r="23">
      <c r="A23" s="3" t="inlineStr">
        <is>
          <t>19h-20h</t>
        </is>
      </c>
      <c r="B23" s="3" t="n">
        <v>1500</v>
      </c>
      <c r="C23" s="3" t="n">
        <v>85</v>
      </c>
      <c r="D23" s="3" t="n">
        <v>250</v>
      </c>
      <c r="E23" s="3" t="n">
        <v>50</v>
      </c>
      <c r="F23" s="3" t="n">
        <v>1000</v>
      </c>
      <c r="G23" s="3" t="n">
        <v>300</v>
      </c>
      <c r="H23" s="3" t="n">
        <v>0</v>
      </c>
      <c r="I23" s="3" t="n">
        <v>100</v>
      </c>
      <c r="J23" s="3">
        <f>J22-I23</f>
        <v/>
      </c>
      <c r="K23" s="3" t="n">
        <v>500</v>
      </c>
      <c r="L23" s="3">
        <f>L22-K23</f>
        <v/>
      </c>
      <c r="M23" s="3">
        <f>MAX(-((F23+G23+H23+D23+E23+I23+K23)-B23),0)</f>
        <v/>
      </c>
      <c r="N23" s="3">
        <f>MAX((F23+G23+H23+D23+E23+I23+K23)-B23,0)</f>
        <v/>
      </c>
      <c r="P23" s="7" t="inlineStr">
        <is>
          <t>Coût des achats (€)</t>
        </is>
      </c>
      <c r="Q23" s="5">
        <f>SUMPRODUCT(M4:M27,C4:C27)</f>
        <v/>
      </c>
    </row>
    <row r="24">
      <c r="A24" s="3" t="inlineStr">
        <is>
          <t>20h-21h</t>
        </is>
      </c>
      <c r="B24" s="3" t="n">
        <v>1400</v>
      </c>
      <c r="C24" s="3" t="n">
        <v>79</v>
      </c>
      <c r="D24" s="3" t="n">
        <v>100</v>
      </c>
      <c r="E24" s="3" t="n">
        <v>0</v>
      </c>
      <c r="F24" s="3" t="n">
        <v>1000</v>
      </c>
      <c r="G24" s="3" t="n">
        <v>300</v>
      </c>
      <c r="H24" s="3" t="n">
        <v>0</v>
      </c>
      <c r="I24" s="3" t="n">
        <v>0</v>
      </c>
      <c r="J24" s="3">
        <f>J23-I24</f>
        <v/>
      </c>
      <c r="K24" s="3" t="n">
        <v>500</v>
      </c>
      <c r="L24" s="3">
        <f>L23-K24</f>
        <v/>
      </c>
      <c r="M24" s="3">
        <f>MAX(-((F24+G24+H24+D24+E24+I24+K24)-B24),0)</f>
        <v/>
      </c>
      <c r="N24" s="3">
        <f>MAX((F24+G24+H24+D24+E24+I24+K24)-B24,0)</f>
        <v/>
      </c>
      <c r="P24" s="7" t="inlineStr">
        <is>
          <t>Ventes (MWh)</t>
        </is>
      </c>
      <c r="Q24" s="5">
        <f>N28</f>
        <v/>
      </c>
    </row>
    <row r="25">
      <c r="A25" s="3" t="inlineStr">
        <is>
          <t>21h-22h</t>
        </is>
      </c>
      <c r="B25" s="3" t="n">
        <v>1200</v>
      </c>
      <c r="C25" s="3" t="n">
        <v>68</v>
      </c>
      <c r="D25" s="3" t="n">
        <v>50</v>
      </c>
      <c r="E25" s="3" t="n">
        <v>0</v>
      </c>
      <c r="F25" s="3" t="n">
        <v>1000</v>
      </c>
      <c r="G25" s="3" t="n">
        <v>300</v>
      </c>
      <c r="H25" s="3" t="n">
        <v>0</v>
      </c>
      <c r="I25" s="3" t="n">
        <v>0</v>
      </c>
      <c r="J25" s="3">
        <f>J24-I25</f>
        <v/>
      </c>
      <c r="K25" s="3" t="n">
        <v>0</v>
      </c>
      <c r="L25" s="3">
        <f>L24-K25</f>
        <v/>
      </c>
      <c r="M25" s="3">
        <f>MAX(-((F25+G25+H25+D25+E25+I25+K25)-B25),0)</f>
        <v/>
      </c>
      <c r="N25" s="3">
        <f>MAX((F25+G25+H25+D25+E25+I25+K25)-B25,0)</f>
        <v/>
      </c>
      <c r="P25" s="7" t="inlineStr">
        <is>
          <t>Recettes des ventes (€)</t>
        </is>
      </c>
      <c r="Q25" s="5">
        <f>SUMPRODUCT(N4:N27,C4:C27)</f>
        <v/>
      </c>
    </row>
    <row r="26">
      <c r="A26" s="3" t="inlineStr">
        <is>
          <t>22h-23h</t>
        </is>
      </c>
      <c r="B26" s="3" t="n">
        <v>1000</v>
      </c>
      <c r="C26" s="3" t="n">
        <v>55</v>
      </c>
      <c r="D26" s="3" t="n">
        <v>0</v>
      </c>
      <c r="E26" s="3" t="n">
        <v>0</v>
      </c>
      <c r="F26" s="3" t="n">
        <v>1000</v>
      </c>
      <c r="G26" s="3" t="n">
        <v>300</v>
      </c>
      <c r="H26" s="3" t="n">
        <v>0</v>
      </c>
      <c r="I26" s="3" t="n">
        <v>0</v>
      </c>
      <c r="J26" s="3">
        <f>J25-I26</f>
        <v/>
      </c>
      <c r="K26" s="3" t="n">
        <v>0</v>
      </c>
      <c r="L26" s="3">
        <f>L25-K26</f>
        <v/>
      </c>
      <c r="M26" s="3">
        <f>MAX(-((F26+G26+H26+D26+E26+I26+K26)-B26),0)</f>
        <v/>
      </c>
      <c r="N26" s="3">
        <f>MAX((F26+G26+H26+D26+E26+I26+K26)-B26,0)</f>
        <v/>
      </c>
      <c r="P26" s="7" t="inlineStr">
        <is>
          <t>Coût net de la journée (€)</t>
        </is>
      </c>
      <c r="Q26" s="5">
        <f>R20+Q23-Q25</f>
        <v/>
      </c>
    </row>
    <row r="27">
      <c r="A27" s="3" t="inlineStr">
        <is>
          <t>23h-24h</t>
        </is>
      </c>
      <c r="B27" s="3" t="n">
        <v>900</v>
      </c>
      <c r="C27" s="3" t="n">
        <v>49</v>
      </c>
      <c r="D27" s="3" t="n">
        <v>0</v>
      </c>
      <c r="E27" s="3" t="n">
        <v>100</v>
      </c>
      <c r="F27" s="3" t="n">
        <v>1000</v>
      </c>
      <c r="G27" s="3" t="n">
        <v>0</v>
      </c>
      <c r="H27" s="3" t="n">
        <v>0</v>
      </c>
      <c r="I27" s="3" t="n">
        <v>0</v>
      </c>
      <c r="J27" s="3">
        <f>J26-I27</f>
        <v/>
      </c>
      <c r="K27" s="3" t="n">
        <v>0</v>
      </c>
      <c r="L27" s="3">
        <f>L26-K27</f>
        <v/>
      </c>
      <c r="M27" s="3">
        <f>MAX(-((F27+G27+H27+D27+E27+I27+K27)-B27),0)</f>
        <v/>
      </c>
      <c r="N27" s="3">
        <f>MAX((F27+G27+H27+D27+E27+I27+K27)-B27,0)</f>
        <v/>
      </c>
      <c r="P27" s="7" t="inlineStr">
        <is>
          <t>CO2 émis (t)</t>
        </is>
      </c>
      <c r="Q27" s="6">
        <f>S20</f>
        <v/>
      </c>
    </row>
    <row r="28">
      <c r="A28" s="4" t="inlineStr">
        <is>
          <t>Total (MWh)</t>
        </is>
      </c>
      <c r="B28" s="5">
        <f>SUM(B4:B27)</f>
        <v/>
      </c>
      <c r="C28" s="4" t="inlineStr"/>
      <c r="D28" s="5">
        <f>SUM(D4:D27)</f>
        <v/>
      </c>
      <c r="E28" s="5">
        <f>SUM(E4:E27)</f>
        <v/>
      </c>
      <c r="F28" s="5">
        <f>SUM(F4:F27)</f>
        <v/>
      </c>
      <c r="G28" s="5">
        <f>SUM(G4:G27)</f>
        <v/>
      </c>
      <c r="H28" s="5">
        <f>SUM(H4:H27)</f>
        <v/>
      </c>
      <c r="I28" s="4" t="inlineStr"/>
      <c r="J28" s="4" t="inlineStr"/>
      <c r="K28" s="4" t="inlineStr"/>
      <c r="L28" s="4" t="inlineStr"/>
      <c r="M28" s="5">
        <f>SUM(M4:M27)</f>
        <v/>
      </c>
      <c r="N28" s="5">
        <f>SUM(N4:N27)</f>
        <v/>
      </c>
      <c r="P28" s="7" t="inlineStr">
        <is>
          <t>CO2 par MWh produit (kg/MWh)</t>
        </is>
      </c>
      <c r="Q28" s="8">
        <f>S20*1000/Q20</f>
        <v/>
      </c>
    </row>
    <row r="29">
      <c r="P29" s="7" t="inlineStr">
        <is>
          <t>Contraintes stocks et puissances</t>
        </is>
      </c>
      <c r="Q29" s="4">
        <f>IF(AND(MIN(J4:J27)&gt;=0,MAX(J4:J27)&lt;=U9,MIN(L4:L27)&gt;=0,MAX(L4:L27)&lt;=U10,G28&lt;=T5,MAX(G4:G27)&lt;=S5,MAX(F4:F27)&lt;=S4,MAX(I4:I27)&lt;=S9,-MIN(I4:I27)&lt;=S9,MAX(K4:K27)&lt;=S10,-MIN(K4:K27)&lt;=S10),"OK","Non respectées")</f>
        <v/>
      </c>
    </row>
    <row r="52">
      <c r="A52" s="1" t="inlineStr">
        <is>
          <t>Argumentation</t>
        </is>
      </c>
    </row>
    <row r="53">
      <c r="A53" s="1" t="inlineStr">
        <is>
          <t>Gaz à 0 : 200 €/MWh, plus cher que le marché à toutes les heures (max 96 €/MWh). Acheter coûte moins cher et évite 400 kg CO2/MWh.</t>
        </is>
      </c>
    </row>
    <row r="54">
      <c r="A54" s="1" t="inlineStr">
        <is>
          <t>Nucléaire à 1000 MW constant : 7 €/MWh, sous le prix de marché minimum (33 €/MWh), donc tout surplus se vend avec marge. Aucune variation : contrainte des 3 h respectée.</t>
        </is>
      </c>
    </row>
    <row r="55">
      <c r="A55" s="1" t="inlineStr">
        <is>
          <t>Hydraulique : stock de 5000 MWh non reconstituable, utilisé sur les heures les plus chères (300 MW sur 16 h, 200 MW de 6h à 7h).</t>
        </is>
      </c>
    </row>
    <row r="56">
      <c r="A56" s="1" t="inlineStr">
        <is>
          <t>Solaire et éolien : production fatale injectée en totalité. Avec le nucléaire, elle dépasse la demande dès 6h : le surplus est stocké ou vendu, P = C à chaque heure.</t>
        </is>
      </c>
    </row>
    <row r="57">
      <c r="A57" s="1" t="inlineStr">
        <is>
          <t>STEP : pompage 500 MW de 0h à 6h (33 à 45 €/MWh), turbinage 500 MW sur les 6 heures les plus chères (79 à 96 €/MWh).</t>
        </is>
      </c>
    </row>
    <row r="58">
      <c r="A58" s="1" t="inlineStr">
        <is>
          <t>Batteries : deux cycles, charge la nuit puis décharge 10h-13h, recharge 13h-16h puis décharge 17h-20h.</t>
        </is>
      </c>
    </row>
    <row r="59">
      <c r="A59" s="1" t="inlineStr">
        <is>
          <t>Marché : achats seulement la nuit pour remplir les stockages, ventes le reste de la journée.</t>
        </is>
      </c>
    </row>
    <row r="60">
      <c r="A60" s="1" t="inlineStr">
        <is>
          <t>Hypothèses : rendement de stockage 100 % (non donné), CO2 solaire/éolien repris du TD1, CO2 des achats non compté, marché sans limite de volume.</t>
        </is>
      </c>
    </row>
  </sheetData>
  <mergeCells count="8">
    <mergeCell ref="A56:N56"/>
    <mergeCell ref="A53:N53"/>
    <mergeCell ref="A55:N55"/>
    <mergeCell ref="A54:N54"/>
    <mergeCell ref="A59:N59"/>
    <mergeCell ref="A57:N57"/>
    <mergeCell ref="A60:N60"/>
    <mergeCell ref="A58:N58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2026-10-06T07:02:18Z</dcterms:created>
  <dcterms:modified xmlns:dcterms="http://purl.org/dc/terms/" xmlns:xsi="http://www.w3.org/2001/XMLSchema-instance" xsi:type="dcterms:W3CDTF">2026-10-06T07:02:18Z</dcterms:modified>
</cp:coreProperties>
</file>